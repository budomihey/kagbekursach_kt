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drawings/drawing10.xml" ContentType="application/vnd.openxmlformats-officedocument.drawing+xml"/>
  <Override PartName="/xl/activeX/activeX10.xml" ContentType="application/vnd.ms-office.activeX+xml"/>
  <Override PartName="/xl/drawings/drawing11.xml" ContentType="application/vnd.openxmlformats-officedocument.drawing+xml"/>
  <Override PartName="/xl/activeX/activeX1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filterPrivacy="1" codeName="ЭтаКнига" defaultThemeVersion="124226"/>
  <bookViews>
    <workbookView xWindow="240" yWindow="105" windowWidth="14805" windowHeight="8010" activeTab="8"/>
  </bookViews>
  <sheets>
    <sheet name="27-1 орен" sheetId="14" r:id="rId1"/>
    <sheet name="4199 вгп" sheetId="13" r:id="rId2"/>
    <sheet name="2882 внг" sheetId="12" r:id="rId3"/>
    <sheet name="1582 вгп" sheetId="11" r:id="rId4"/>
    <sheet name="1560 вгп" sheetId="10" r:id="rId5"/>
    <sheet name="1246 вгп" sheetId="9" r:id="rId6"/>
    <sheet name="1044 вгп" sheetId="8" r:id="rId7"/>
    <sheet name="922 вгп" sheetId="7" r:id="rId8"/>
    <sheet name="571 вгп" sheetId="1" r:id="rId9"/>
    <sheet name="688 вгп" sheetId="6" r:id="rId10"/>
    <sheet name="692 вгп" sheetId="5" r:id="rId11"/>
  </sheets>
  <functionGroups builtInGroupCount="17"/>
  <calcPr calcId="144525" refMode="R1C1" iterate="1"/>
</workbook>
</file>

<file path=xl/calcChain.xml><?xml version="1.0" encoding="utf-8"?>
<calcChain xmlns="http://schemas.openxmlformats.org/spreadsheetml/2006/main">
  <c r="J15" i="12" l="1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K15" i="1" l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J15" i="1"/>
</calcChain>
</file>

<file path=xl/sharedStrings.xml><?xml version="1.0" encoding="utf-8"?>
<sst xmlns="http://schemas.openxmlformats.org/spreadsheetml/2006/main" count="1157" uniqueCount="232">
  <si>
    <t xml:space="preserve">Скв.  571 / Вынгапуровское / к. 34
ЦДНГ-8 / ДНС-1
В экспл. с 30.09.1987 / Эфф. зак. %
В ППД с 03.01.2004
</t>
  </si>
  <si>
    <t>2821.7 м, 19.09.20142874 м124,2 м</t>
  </si>
  <si>
    <t>Пласт</t>
  </si>
  <si>
    <t>Накоп. закачка, м3</t>
  </si>
  <si>
    <t>Ннн, м</t>
  </si>
  <si>
    <t>Интервал перф., м</t>
  </si>
  <si>
    <t>Перфоратор</t>
  </si>
  <si>
    <t>Дата посл. перф.</t>
  </si>
  <si>
    <t>Удл, м</t>
  </si>
  <si>
    <t>Рпл, атм</t>
  </si>
  <si>
    <t>Рзаб ТР, атм</t>
  </si>
  <si>
    <t>БВ8/1</t>
  </si>
  <si>
    <t>1219026,792</t>
  </si>
  <si>
    <t>8,8</t>
  </si>
  <si>
    <t>(0) 2797 - 2800.4; (0) 2804.4 - 2807.6; (0) 2808.8 - 2811.2; (0) 2813.2 - 2815.2</t>
  </si>
  <si>
    <t>ПКС-80, ПКС-80, ПКС-80, ПКС-80</t>
  </si>
  <si>
    <t>23.09.1987</t>
  </si>
  <si>
    <t>40,4</t>
  </si>
  <si>
    <t>197.35 (БВ8/1)</t>
  </si>
  <si>
    <t xml:space="preserve">379
</t>
  </si>
  <si>
    <t>412,22</t>
  </si>
  <si>
    <t>Об. НКТ</t>
  </si>
  <si>
    <t>Мес</t>
  </si>
  <si>
    <t>МЭР</t>
  </si>
  <si>
    <t>Режимы</t>
  </si>
  <si>
    <t>Парам/Дата</t>
  </si>
  <si>
    <t>за окт 2020</t>
  </si>
  <si>
    <t>на ноя 2020</t>
  </si>
  <si>
    <t>Состояние</t>
  </si>
  <si>
    <t>раб.</t>
  </si>
  <si>
    <t>ПМН Н1, 2748.5м., 31.12.03</t>
  </si>
  <si>
    <t>октябрь  2020</t>
  </si>
  <si>
    <t>Qприем ТМ</t>
  </si>
  <si>
    <t>33</t>
  </si>
  <si>
    <t>Qприем.Эфф</t>
  </si>
  <si>
    <t>135</t>
  </si>
  <si>
    <t>Рбуф</t>
  </si>
  <si>
    <t>Рзатр</t>
  </si>
  <si>
    <t>Рст</t>
  </si>
  <si>
    <t>2</t>
  </si>
  <si>
    <t>Dшт</t>
  </si>
  <si>
    <t>181,6</t>
  </si>
  <si>
    <t>Ркнс</t>
  </si>
  <si>
    <t>173,1</t>
  </si>
  <si>
    <t>Pкуст</t>
  </si>
  <si>
    <t>Pлин</t>
  </si>
  <si>
    <t>Прим</t>
  </si>
  <si>
    <t>К лин</t>
  </si>
  <si>
    <t>Коридор,%</t>
  </si>
  <si>
    <t>dQ</t>
  </si>
  <si>
    <t>dP</t>
  </si>
  <si>
    <t>dK</t>
  </si>
  <si>
    <t>вероятн</t>
  </si>
  <si>
    <t>рекоменд</t>
  </si>
  <si>
    <t>уточн</t>
  </si>
  <si>
    <t>меропр</t>
  </si>
  <si>
    <t>АвтоГРП скважины или авария</t>
  </si>
  <si>
    <t>Проверить Рзатр и Рбуф</t>
  </si>
  <si>
    <t>АвтоГРП</t>
  </si>
  <si>
    <t>Пересмотр режима</t>
  </si>
  <si>
    <t>АвтоГРП, авария или снижение линейного давления при штуцировании</t>
  </si>
  <si>
    <t>Проверить Рбуф, Рзатр, Dшт</t>
  </si>
  <si>
    <t xml:space="preserve"> </t>
  </si>
  <si>
    <t xml:space="preserve">Скв.  688 / Вынгапуровское / к. 35
ЦДНГ-8 / ДНС-1
В экспл. с 19.06.1986 / Эфф. зак. %
В ППД с 05.03.1987
</t>
  </si>
  <si>
    <t>Чистый
3058 м, 25.07.20163082 м123,8 м</t>
  </si>
  <si>
    <t>1846836,018</t>
  </si>
  <si>
    <t>22,2</t>
  </si>
  <si>
    <t>(0) 2994.4 - 3004.4; (0) 3005.4 - 3013.8; (0) 3014.6 - 3018.6</t>
  </si>
  <si>
    <t>ПКС-80, ПКС-80, ПКС-80</t>
  </si>
  <si>
    <t>11.06.1986</t>
  </si>
  <si>
    <t>226,5</t>
  </si>
  <si>
    <t>172.62 (БВ8/1)</t>
  </si>
  <si>
    <t xml:space="preserve">404.1
</t>
  </si>
  <si>
    <t>425,66</t>
  </si>
  <si>
    <t>ПС-146-МЯ, 2942.6м., 24.07.16</t>
  </si>
  <si>
    <t>152</t>
  </si>
  <si>
    <t>70</t>
  </si>
  <si>
    <t>8</t>
  </si>
  <si>
    <t>175,6</t>
  </si>
  <si>
    <t xml:space="preserve">Скв.  692 / Вынгапуровское / к. 43
ЦДНГ-8 / ДНС-1
В экспл. с 23.08.1986 / Эфф. зак. %
В ППД с 27.02.1987
</t>
  </si>
  <si>
    <t>2802.6 м, 10.06.19982876,8 м121,9 м</t>
  </si>
  <si>
    <t>1282495,168</t>
  </si>
  <si>
    <t>9,4</t>
  </si>
  <si>
    <t>(0) 2786.2 - 2803.4</t>
  </si>
  <si>
    <t>ПКС-80</t>
  </si>
  <si>
    <t>15.08.1986</t>
  </si>
  <si>
    <t>4,2</t>
  </si>
  <si>
    <t>139.8 (БВ8/1)</t>
  </si>
  <si>
    <t xml:space="preserve">352
</t>
  </si>
  <si>
    <t>413,94</t>
  </si>
  <si>
    <t>138</t>
  </si>
  <si>
    <t>0</t>
  </si>
  <si>
    <t>4</t>
  </si>
  <si>
    <t>168,7</t>
  </si>
  <si>
    <t xml:space="preserve">Скв.  922 / Вынгапуровское / к. 54
ЦДНГ-8 / ДНС-1
В экспл. с 24.12.1985 / Эфф. зак. %
В ППД с 17.01.2007
</t>
  </si>
  <si>
    <t>2874.1 м, 04.06.20182900,8 м130,1 м</t>
  </si>
  <si>
    <t>2663875,945</t>
  </si>
  <si>
    <t>7,2</t>
  </si>
  <si>
    <t>(0) 2823.8 - 2835; (0) 2854.2 - 2855.2; (0) 2865.8 - 2867.8</t>
  </si>
  <si>
    <t>21.12.1985</t>
  </si>
  <si>
    <t>80,6</t>
  </si>
  <si>
    <t>43.54 (БВ8/1)</t>
  </si>
  <si>
    <t xml:space="preserve">373.3
</t>
  </si>
  <si>
    <t>413,77</t>
  </si>
  <si>
    <t>ПРО-ЯДЖ-0-145, 2762м., 27.06.10</t>
  </si>
  <si>
    <t>140</t>
  </si>
  <si>
    <t>120</t>
  </si>
  <si>
    <t>5</t>
  </si>
  <si>
    <t>170,4</t>
  </si>
  <si>
    <t xml:space="preserve">Скв.  1044 / Вынгапуровское / к. 51
ЦДНГ-8 / ДНС-2
В экспл. с 12.12.1996 / Эфф. зак. %
В ППД с 20.10.2007
</t>
  </si>
  <si>
    <t>Чистый
2884.5 м, 26.08.20172908,1 м139,7 м</t>
  </si>
  <si>
    <t>Dшт, мм</t>
  </si>
  <si>
    <t>ГРП</t>
  </si>
  <si>
    <t>Объем проппанта</t>
  </si>
  <si>
    <t>572531,888</t>
  </si>
  <si>
    <t>6,8</t>
  </si>
  <si>
    <t>(0) 2828 - 2829; (0) 2829 - 2836.6; (0) 2836.6 - 2838; (0) 2838 - 2843; (0) 2843 - 2846.8; (0) 2852.9 - 2857</t>
  </si>
  <si>
    <t>ПК-105, ЗКПО-ПБ-30-ПО, ЗКПО-ПБ-30-ПО, ЗКПО-ПБ-30-ПО, ПКС-80, ПКС-80</t>
  </si>
  <si>
    <t>29.03.2005</t>
  </si>
  <si>
    <t>160,4</t>
  </si>
  <si>
    <t>293.95 (БВ8/1)</t>
  </si>
  <si>
    <t xml:space="preserve">365
</t>
  </si>
  <si>
    <t>383,99</t>
  </si>
  <si>
    <t xml:space="preserve">06.05.2005
19.02.2002
11.02.2002
</t>
  </si>
  <si>
    <t>2ПОМ-2ЯГМ-150, 2771м., 17.10.07</t>
  </si>
  <si>
    <t>117</t>
  </si>
  <si>
    <t>158,05</t>
  </si>
  <si>
    <t>150</t>
  </si>
  <si>
    <t>проверено в работе возможно штуцер размыт</t>
  </si>
  <si>
    <t xml:space="preserve">Скв.  1246 / Вынгапуровское / к. 68
ЦДНГ-7 / ДНС-3
В экспл. с 05.02.1998 / Эфф. зак. %
В ППД с 27.07.2010
</t>
  </si>
  <si>
    <t>3076.1 м, 12.08.20173166 м138,2 м</t>
  </si>
  <si>
    <t>589299,086</t>
  </si>
  <si>
    <t>5,8</t>
  </si>
  <si>
    <t>(0) 3066 - 3077; (0) 3077 - 3078</t>
  </si>
  <si>
    <t>ПКС-80, ПКС-80</t>
  </si>
  <si>
    <t>21.07.2006</t>
  </si>
  <si>
    <t>292,3</t>
  </si>
  <si>
    <t>142.85 (БВ8/1)</t>
  </si>
  <si>
    <t xml:space="preserve">380
</t>
  </si>
  <si>
    <t>454,04</t>
  </si>
  <si>
    <t>32</t>
  </si>
  <si>
    <t xml:space="preserve">08.08.2006
</t>
  </si>
  <si>
    <t>2ПОМ-2ЯГМ-150, 3010м., 27.07.10</t>
  </si>
  <si>
    <t>260</t>
  </si>
  <si>
    <t>180</t>
  </si>
  <si>
    <t>184,78</t>
  </si>
  <si>
    <t>180,3</t>
  </si>
  <si>
    <t xml:space="preserve">Скв.  1560 / Вынгапуровское / к. 344
ЦДНГ-7 / ДНС-3
В экспл. с 16.12.1996 / Эфф. зак. %
В ППД с 06.05.2014
</t>
  </si>
  <si>
    <t>2988 м, 13.11.20183060 м125,7 м</t>
  </si>
  <si>
    <t>378169,395</t>
  </si>
  <si>
    <t>0,8</t>
  </si>
  <si>
    <t>(0) 2983.7 - 2995.7</t>
  </si>
  <si>
    <t>ПРК-42</t>
  </si>
  <si>
    <t>15.09.1993</t>
  </si>
  <si>
    <t>198,1</t>
  </si>
  <si>
    <t>153.58 (БВ8/1)
154 Расч.</t>
  </si>
  <si>
    <t xml:space="preserve">395
</t>
  </si>
  <si>
    <t>406,93</t>
  </si>
  <si>
    <t>3</t>
  </si>
  <si>
    <t xml:space="preserve">08.08.2006
31.07.2002
</t>
  </si>
  <si>
    <t>ПС-146-МЯ, 2892м., 22.08.16</t>
  </si>
  <si>
    <t>427</t>
  </si>
  <si>
    <t>136</t>
  </si>
  <si>
    <t>176,95</t>
  </si>
  <si>
    <t>167</t>
  </si>
  <si>
    <t xml:space="preserve">Скв.  1582 / Вынгапуровское / к. 528
ЦДНГ-7 / ДНС-5
В экспл. с 30.04.2016 / Эфф. зак. %
В ППД с 30.04.2016
</t>
  </si>
  <si>
    <t>(0) 3136 - 3146</t>
  </si>
  <si>
    <t>ЗПК-89АТ-М-09</t>
  </si>
  <si>
    <t>394,2</t>
  </si>
  <si>
    <t>282 (БВ8/1)
282 Расч.</t>
  </si>
  <si>
    <t xml:space="preserve">391.2
</t>
  </si>
  <si>
    <t>влияние ВНР 1585/528 
уст шт2мм</t>
  </si>
  <si>
    <t>17.04.2016</t>
  </si>
  <si>
    <t>422,57</t>
  </si>
  <si>
    <t xml:space="preserve">20.04.2016
</t>
  </si>
  <si>
    <t>10</t>
  </si>
  <si>
    <t>154,6</t>
  </si>
  <si>
    <t>Чистый
3204 м, 29.05.20163216,9 м123,9 м</t>
  </si>
  <si>
    <t>336442,582</t>
  </si>
  <si>
    <t>27.4</t>
  </si>
  <si>
    <t xml:space="preserve">Скв.  2882 / Вынгапуровское / к. 209
ЦДНГ-8 / ДНС-6
В экспл. с 15.02.2011 / Эфф. зак. %
В ППД с 14.05.2012
</t>
  </si>
  <si>
    <t>3267.6 м, 11.11.20183306 м105,5 м</t>
  </si>
  <si>
    <t>ЮВ1/1
ЮВ1/2
ЮВ2
ЮВ4</t>
  </si>
  <si>
    <t>648455,34
46732,87
222600,323
14902,328</t>
  </si>
  <si>
    <t>3,8
3,6
5,6
13,9</t>
  </si>
  <si>
    <t xml:space="preserve">(0) 3112 - 3124
(0) 3131.5 - 3134.2; 
(0) 3180 - 3188; 
(0) 3228 - 3246; </t>
  </si>
  <si>
    <t xml:space="preserve">ЗПК-89АТ-10
ЗПК-89АТ-10, 
ЗПК-89АТ-10, </t>
  </si>
  <si>
    <t>03.04.2011
07.07.2015
01.02.2011
09.05.2012</t>
  </si>
  <si>
    <t>87,7
87,7
87,7
87,8</t>
  </si>
  <si>
    <t>713 (ЮВ2)
713 (ЮВ4)
422 (ЮВ1/1)
200 (ЮВ1/2)</t>
  </si>
  <si>
    <t xml:space="preserve">372.7
374.4
345.7
375.4
</t>
  </si>
  <si>
    <t>394,75
394,75
394,75
394,75</t>
  </si>
  <si>
    <t>нет</t>
  </si>
  <si>
    <t>130</t>
  </si>
  <si>
    <t>152,7</t>
  </si>
  <si>
    <t xml:space="preserve">Скв.  4199 / Вынгапуровское / к. 10
ЦДНГ-8 / ДНС-2
В экспл. с 15.03.2013 / Эфф. зак. %
В ППД с 30.06.2013
</t>
  </si>
  <si>
    <t>3765.6 м, 30.01.20193867,2 м140,8 м</t>
  </si>
  <si>
    <t>ЮВ1/1</t>
  </si>
  <si>
    <t>1200893,734</t>
  </si>
  <si>
    <t>3,8</t>
  </si>
  <si>
    <t>(0) 3745 - 3750; (0) 3750 - 3756</t>
  </si>
  <si>
    <t>3ПК-89АТ-09, 3ПК-89АТ-09</t>
  </si>
  <si>
    <t>12.03.2013</t>
  </si>
  <si>
    <t>824,2</t>
  </si>
  <si>
    <t>354.33 (ЮВ1/1)</t>
  </si>
  <si>
    <t xml:space="preserve">343
</t>
  </si>
  <si>
    <t>417,53</t>
  </si>
  <si>
    <t xml:space="preserve">09.04.2013
05.04.2013
</t>
  </si>
  <si>
    <t>92</t>
  </si>
  <si>
    <t>112</t>
  </si>
  <si>
    <t>Кольматация или штуцирование скважины</t>
  </si>
  <si>
    <t>Проверить Рбуф, Dшт</t>
  </si>
  <si>
    <t>Кольматация при смене режима?</t>
  </si>
  <si>
    <t>Проверить Рбуф</t>
  </si>
  <si>
    <t>Рлин ТМ</t>
  </si>
  <si>
    <t>Рбуф ТМ</t>
  </si>
  <si>
    <t>Рбг ТМ</t>
  </si>
  <si>
    <t>Pуст</t>
  </si>
  <si>
    <t>80</t>
  </si>
  <si>
    <t>6</t>
  </si>
  <si>
    <t>162</t>
  </si>
  <si>
    <t xml:space="preserve">Скв.  27-1 / Оренбургское / к. 0
ЦДНГ-1 / УПСВ-1
В экспл. с 15.07.2000 / Эфф. зак. %
В ППД с 03.11.2016
</t>
  </si>
  <si>
    <t>2416 м, 15.07.20002416 м177,3 м</t>
  </si>
  <si>
    <t>P4+5+6_Block2</t>
  </si>
  <si>
    <t>250781,155</t>
  </si>
  <si>
    <t>18,9</t>
  </si>
  <si>
    <t>(0) 1968 - 2416</t>
  </si>
  <si>
    <t>15.07.2000</t>
  </si>
  <si>
    <t>33,1</t>
  </si>
  <si>
    <t>218.2 (P4+5+6_Block2)</t>
  </si>
  <si>
    <t xml:space="preserve">205
</t>
  </si>
  <si>
    <t>319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</si>
</sst>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8.25"/>
      <color indexed="8"/>
      <name val="Tahoma"/>
      <family val="2"/>
      <charset val="204"/>
    </font>
    <font>
      <sz val="8.25"/>
      <color indexed="8"/>
      <name val="Tahoma"/>
      <family val="2"/>
      <charset val="204"/>
    </font>
    <font>
      <b/>
      <sz val="8.25"/>
      <color indexed="11"/>
      <name val="Tahoma"/>
      <family val="2"/>
      <charset val="204"/>
    </font>
    <font>
      <u/>
      <sz val="8.25"/>
      <color indexed="8"/>
      <name val="Tahoma"/>
      <family val="2"/>
      <charset val="204"/>
    </font>
    <font>
      <sz val="8.5"/>
      <name val="Tahoma"/>
      <family val="2"/>
      <charset val="204"/>
    </font>
    <font>
      <b/>
      <sz val="8.5"/>
      <name val="Tahoma"/>
      <family val="2"/>
      <charset val="204"/>
    </font>
    <font>
      <sz val="11"/>
      <color theme="0"/>
      <name val="Calibri"/>
      <family val="2"/>
      <scheme val="minor"/>
    </font>
    <font>
      <sz val="8.25"/>
      <color rgb="FFF81F08"/>
      <name val="Tahoma"/>
      <family val="2"/>
      <charset val="204"/>
    </font>
    <font>
      <sz val="8.25"/>
      <color theme="1"/>
      <name val="Tahoma"/>
      <family val="2"/>
      <charset val="204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2">
    <xf numFmtId="0" fontId="0" fillId="0" borderId="0"/>
    <xf numFmtId="0" fontId="1" fillId="0" borderId="0"/>
  </cellStyleXfs>
  <cellXfs count="87">
    <xf numFmtId="0" fontId="0" fillId="0" borderId="0" xfId="0"/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2" fillId="2" borderId="3" xfId="1" applyNumberFormat="1" applyFont="1" applyFill="1" applyBorder="1" applyAlignment="1" applyProtection="1">
      <alignment horizontal="center" vertical="center" wrapText="1"/>
    </xf>
    <xf numFmtId="164" fontId="0" fillId="0" borderId="0" xfId="0" applyNumberFormat="1"/>
    <xf numFmtId="0" fontId="0" fillId="0" borderId="0" xfId="0" applyNumberFormat="1"/>
    <xf numFmtId="0" fontId="2" fillId="4" borderId="1" xfId="1" applyNumberFormat="1" applyFont="1" applyFill="1" applyBorder="1" applyAlignment="1" applyProtection="1">
      <alignment horizontal="center" vertical="center" wrapText="1"/>
    </xf>
    <xf numFmtId="0" fontId="9" fillId="4" borderId="1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8" fillId="0" borderId="0" xfId="0" applyFont="1" applyFill="1"/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9" fillId="0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10" fillId="0" borderId="1" xfId="1" applyNumberFormat="1" applyFont="1" applyFill="1" applyBorder="1" applyAlignment="1" applyProtection="1">
      <alignment horizontal="center" vertical="center" wrapText="1"/>
    </xf>
    <xf numFmtId="0" fontId="11" fillId="0" borderId="0" xfId="0" applyFont="1"/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49" fontId="6" fillId="0" borderId="0" xfId="1" applyNumberFormat="1" applyFont="1" applyAlignment="1">
      <alignment horizontal="center" vertical="center" wrapText="1"/>
    </xf>
    <xf numFmtId="0" fontId="1" fillId="0" borderId="0" xfId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6" fillId="0" borderId="2" xfId="1" applyNumberFormat="1" applyFont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49" fontId="6" fillId="0" borderId="2" xfId="1" applyNumberFormat="1" applyFont="1" applyBorder="1" applyAlignment="1">
      <alignment horizontal="center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textRotation="90" wrapText="1"/>
    </xf>
    <xf numFmtId="0" fontId="2" fillId="2" borderId="1" xfId="1" applyNumberFormat="1" applyFont="1" applyFill="1" applyBorder="1" applyAlignment="1" applyProtection="1">
      <alignment horizontal="center" vertical="center" textRotation="90" wrapText="1"/>
    </xf>
    <xf numFmtId="0" fontId="7" fillId="0" borderId="2" xfId="1" applyFont="1" applyBorder="1" applyAlignment="1">
      <alignment horizontal="center" vertical="center" wrapText="1"/>
    </xf>
    <xf numFmtId="0" fontId="2" fillId="2" borderId="6" xfId="1" applyNumberFormat="1" applyFont="1" applyFill="1" applyBorder="1" applyAlignment="1" applyProtection="1">
      <alignment horizontal="center" vertical="center" wrapText="1"/>
    </xf>
    <xf numFmtId="0" fontId="2" fillId="2" borderId="7" xfId="1" applyNumberFormat="1" applyFont="1" applyFill="1" applyBorder="1" applyAlignment="1" applyProtection="1">
      <alignment horizontal="center" vertical="center" wrapText="1"/>
    </xf>
    <xf numFmtId="0" fontId="3" fillId="2" borderId="4" xfId="1" applyNumberFormat="1" applyFont="1" applyFill="1" applyBorder="1" applyAlignment="1" applyProtection="1">
      <alignment horizontal="center" vertical="center" textRotation="90" wrapText="1"/>
    </xf>
    <xf numFmtId="0" fontId="3" fillId="2" borderId="3" xfId="1" applyNumberFormat="1" applyFont="1" applyFill="1" applyBorder="1" applyAlignment="1" applyProtection="1">
      <alignment horizontal="center" vertical="center" textRotation="90" wrapText="1"/>
    </xf>
    <xf numFmtId="0" fontId="3" fillId="2" borderId="5" xfId="1" applyNumberFormat="1" applyFont="1" applyFill="1" applyBorder="1" applyAlignment="1" applyProtection="1">
      <alignment horizontal="center" vertical="center" textRotation="90" wrapText="1"/>
    </xf>
    <xf numFmtId="0" fontId="2" fillId="2" borderId="4" xfId="1" applyNumberFormat="1" applyFont="1" applyFill="1" applyBorder="1" applyAlignment="1" applyProtection="1">
      <alignment horizontal="center" vertical="center" textRotation="90" wrapText="1"/>
    </xf>
    <xf numFmtId="0" fontId="2" fillId="2" borderId="3" xfId="1" applyNumberFormat="1" applyFont="1" applyFill="1" applyBorder="1" applyAlignment="1" applyProtection="1">
      <alignment horizontal="center" vertical="center" textRotation="90" wrapText="1"/>
    </xf>
    <xf numFmtId="0" fontId="2" fillId="2" borderId="5" xfId="1" applyNumberFormat="1" applyFont="1" applyFill="1" applyBorder="1" applyAlignment="1" applyProtection="1">
      <alignment horizontal="center" vertical="center" textRotation="90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colors>
    <mruColors>
      <color rgb="FFF81F0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19050</xdr:rowOff>
        </xdr:from>
        <xdr:to>
          <xdr:col>7</xdr:col>
          <xdr:colOff>561975</xdr:colOff>
          <xdr:row>18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BB36"/>
  <sheetViews>
    <sheetView workbookViewId="0">
      <selection activeCell="E8" sqref="E8"/>
    </sheetView>
  </sheetViews>
  <sheetFormatPr defaultRowHeight="15" x14ac:dyDescent="0.25"/>
  <sheetData>
    <row r="1" spans="1:54" ht="15" customHeight="1" x14ac:dyDescent="0.25">
      <c r="A1" s="60" t="s">
        <v>221</v>
      </c>
      <c r="B1" s="63"/>
      <c r="C1" s="63"/>
      <c r="D1" s="63"/>
      <c r="E1" s="63"/>
      <c r="F1" s="63"/>
      <c r="G1" s="63"/>
      <c r="H1" s="60" t="s">
        <v>222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  <c r="AQ1" s="60" t="s">
        <v>111</v>
      </c>
      <c r="AR1" s="61"/>
      <c r="AS1" s="61"/>
      <c r="AT1" s="60"/>
      <c r="AU1" s="61"/>
      <c r="AV1" s="61"/>
      <c r="AW1" s="60" t="s">
        <v>112</v>
      </c>
      <c r="AX1" s="61"/>
      <c r="AY1" s="61"/>
      <c r="AZ1" s="60" t="s">
        <v>113</v>
      </c>
      <c r="BA1" s="61"/>
      <c r="BB1" s="61"/>
    </row>
    <row r="2" spans="1:54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223</v>
      </c>
      <c r="K2" s="66"/>
      <c r="L2" s="65" t="s">
        <v>224</v>
      </c>
      <c r="M2" s="66"/>
      <c r="N2" s="66"/>
      <c r="O2" s="66"/>
      <c r="P2" s="66"/>
      <c r="Q2" s="65" t="s">
        <v>225</v>
      </c>
      <c r="R2" s="66"/>
      <c r="S2" s="66"/>
      <c r="T2" s="65" t="s">
        <v>226</v>
      </c>
      <c r="U2" s="66"/>
      <c r="V2" s="66"/>
      <c r="W2" s="65"/>
      <c r="X2" s="66"/>
      <c r="Y2" s="65" t="s">
        <v>227</v>
      </c>
      <c r="Z2" s="66"/>
      <c r="AA2" s="66"/>
      <c r="AB2" s="66"/>
      <c r="AC2" s="65" t="s">
        <v>228</v>
      </c>
      <c r="AD2" s="66"/>
      <c r="AE2" s="65" t="s">
        <v>229</v>
      </c>
      <c r="AF2" s="66"/>
      <c r="AG2" s="66"/>
      <c r="AH2" s="65"/>
      <c r="AI2" s="66"/>
      <c r="AJ2" s="66"/>
      <c r="AK2" s="67" t="s">
        <v>230</v>
      </c>
      <c r="AL2" s="66"/>
      <c r="AM2" s="66"/>
      <c r="AN2" s="64" t="s">
        <v>231</v>
      </c>
      <c r="AO2" s="63"/>
      <c r="AP2" s="63"/>
      <c r="AQ2" s="64" t="s">
        <v>219</v>
      </c>
      <c r="AR2" s="63"/>
      <c r="AS2" s="63"/>
      <c r="AT2" s="64"/>
      <c r="AU2" s="63"/>
      <c r="AV2" s="63"/>
      <c r="AW2" s="64" t="s">
        <v>192</v>
      </c>
      <c r="AX2" s="63"/>
      <c r="AY2" s="63"/>
      <c r="AZ2" s="64"/>
      <c r="BA2" s="63"/>
      <c r="BB2" s="63"/>
    </row>
    <row r="3" spans="1:54" ht="21" x14ac:dyDescent="0.25">
      <c r="A3" s="41" t="s">
        <v>21</v>
      </c>
      <c r="B3" s="42" t="s">
        <v>22</v>
      </c>
      <c r="C3" s="42" t="s">
        <v>23</v>
      </c>
      <c r="D3" s="68" t="s">
        <v>24</v>
      </c>
      <c r="E3" s="68"/>
      <c r="F3" s="58"/>
      <c r="G3" s="58"/>
      <c r="H3" s="58"/>
      <c r="I3" s="42" t="s">
        <v>25</v>
      </c>
      <c r="J3" s="42">
        <v>1</v>
      </c>
      <c r="K3" s="42">
        <v>2</v>
      </c>
      <c r="L3" s="42">
        <v>3</v>
      </c>
      <c r="M3" s="42">
        <v>4</v>
      </c>
      <c r="N3" s="42">
        <v>5</v>
      </c>
      <c r="O3" s="42">
        <v>6</v>
      </c>
      <c r="P3" s="42">
        <v>7</v>
      </c>
      <c r="Q3" s="42">
        <v>8</v>
      </c>
      <c r="R3" s="42">
        <v>9</v>
      </c>
      <c r="S3" s="42">
        <v>10</v>
      </c>
      <c r="T3" s="42">
        <v>11</v>
      </c>
      <c r="U3" s="42">
        <v>12</v>
      </c>
      <c r="V3" s="42">
        <v>13</v>
      </c>
      <c r="W3" s="42">
        <v>14</v>
      </c>
      <c r="X3" s="42">
        <v>15</v>
      </c>
      <c r="Y3" s="42">
        <v>16</v>
      </c>
      <c r="Z3" s="42">
        <v>17</v>
      </c>
      <c r="AA3" s="42">
        <v>18</v>
      </c>
      <c r="AB3" s="42">
        <v>19</v>
      </c>
      <c r="AC3" s="42">
        <v>20</v>
      </c>
      <c r="AD3" s="42">
        <v>21</v>
      </c>
      <c r="AE3" s="42">
        <v>22</v>
      </c>
      <c r="AF3" s="42">
        <v>23</v>
      </c>
      <c r="AG3" s="42">
        <v>24</v>
      </c>
      <c r="AH3" s="42">
        <v>25</v>
      </c>
      <c r="AI3" s="42">
        <v>26</v>
      </c>
      <c r="AJ3" s="42">
        <v>27</v>
      </c>
      <c r="AK3" s="42">
        <v>28</v>
      </c>
      <c r="AL3" s="42">
        <v>29</v>
      </c>
      <c r="AM3" s="42">
        <v>30</v>
      </c>
      <c r="AN3" s="42">
        <v>31</v>
      </c>
      <c r="AO3" s="40"/>
      <c r="AP3" s="40"/>
    </row>
    <row r="4" spans="1:54" ht="21" x14ac:dyDescent="0.25">
      <c r="A4" s="59"/>
      <c r="B4" s="59"/>
      <c r="C4" s="59"/>
      <c r="D4" s="45" t="s">
        <v>26</v>
      </c>
      <c r="E4" s="45" t="s">
        <v>27</v>
      </c>
      <c r="F4" s="59"/>
      <c r="G4" s="59" t="s">
        <v>48</v>
      </c>
      <c r="H4" s="59"/>
      <c r="I4" s="83" t="s">
        <v>28</v>
      </c>
      <c r="J4" s="84" t="s">
        <v>29</v>
      </c>
      <c r="K4" s="84" t="s">
        <v>29</v>
      </c>
      <c r="L4" s="84" t="s">
        <v>29</v>
      </c>
      <c r="M4" s="84" t="s">
        <v>29</v>
      </c>
      <c r="N4" s="84" t="s">
        <v>29</v>
      </c>
      <c r="O4" s="84" t="s">
        <v>29</v>
      </c>
      <c r="P4" s="84" t="s">
        <v>29</v>
      </c>
      <c r="Q4" s="84" t="s">
        <v>29</v>
      </c>
      <c r="R4" s="84" t="s">
        <v>29</v>
      </c>
      <c r="S4" s="84" t="s">
        <v>29</v>
      </c>
      <c r="T4" s="84" t="s">
        <v>29</v>
      </c>
      <c r="U4" s="84" t="s">
        <v>29</v>
      </c>
      <c r="V4" s="84" t="s">
        <v>29</v>
      </c>
      <c r="W4" s="84" t="s">
        <v>29</v>
      </c>
      <c r="X4" s="84" t="s">
        <v>29</v>
      </c>
      <c r="Y4" s="84" t="s">
        <v>29</v>
      </c>
      <c r="Z4" s="84" t="s">
        <v>29</v>
      </c>
      <c r="AA4" s="84" t="s">
        <v>29</v>
      </c>
      <c r="AB4" s="84" t="s">
        <v>29</v>
      </c>
      <c r="AC4" s="84" t="s">
        <v>29</v>
      </c>
      <c r="AD4" s="84" t="s">
        <v>29</v>
      </c>
      <c r="AE4" s="84" t="s">
        <v>29</v>
      </c>
      <c r="AF4" s="84" t="s">
        <v>29</v>
      </c>
      <c r="AG4" s="84" t="s">
        <v>29</v>
      </c>
      <c r="AH4" s="84" t="s">
        <v>29</v>
      </c>
      <c r="AI4" s="84" t="s">
        <v>29</v>
      </c>
      <c r="AJ4" s="84" t="s">
        <v>29</v>
      </c>
      <c r="AK4" s="84" t="s">
        <v>29</v>
      </c>
      <c r="AL4" s="84" t="s">
        <v>29</v>
      </c>
      <c r="AM4" s="84" t="s">
        <v>29</v>
      </c>
      <c r="AN4" s="84" t="s">
        <v>29</v>
      </c>
      <c r="AO4" s="80"/>
      <c r="AP4" s="80"/>
    </row>
    <row r="5" spans="1:54" ht="21" x14ac:dyDescent="0.25">
      <c r="A5" s="69" t="s">
        <v>30</v>
      </c>
      <c r="B5" s="70" t="s">
        <v>31</v>
      </c>
      <c r="C5" s="58"/>
      <c r="E5" s="58"/>
      <c r="F5" s="58"/>
      <c r="G5" s="58">
        <v>10</v>
      </c>
      <c r="H5" s="58"/>
      <c r="I5" s="81" t="s">
        <v>32</v>
      </c>
      <c r="J5" s="85">
        <v>268.69</v>
      </c>
      <c r="K5" s="85">
        <v>267.91000000000003</v>
      </c>
      <c r="L5" s="85">
        <v>268.12</v>
      </c>
      <c r="M5" s="85">
        <v>268.5</v>
      </c>
      <c r="N5" s="85">
        <v>268.45999999999998</v>
      </c>
      <c r="O5" s="85">
        <v>268.54000000000002</v>
      </c>
      <c r="P5" s="85">
        <v>266.87</v>
      </c>
      <c r="Q5" s="85">
        <v>257.3</v>
      </c>
      <c r="R5" s="85">
        <v>246.26</v>
      </c>
      <c r="S5" s="85">
        <v>250.36</v>
      </c>
      <c r="T5" s="85">
        <v>245.56</v>
      </c>
      <c r="U5" s="85">
        <v>246.41</v>
      </c>
      <c r="V5" s="85">
        <v>265.05</v>
      </c>
      <c r="W5" s="85">
        <v>271.45</v>
      </c>
      <c r="X5" s="85">
        <v>272.44</v>
      </c>
      <c r="Y5" s="85">
        <v>270.64</v>
      </c>
      <c r="Z5" s="85">
        <v>270.60000000000002</v>
      </c>
      <c r="AA5" s="85">
        <v>272.86</v>
      </c>
      <c r="AB5" s="85">
        <v>271.17</v>
      </c>
      <c r="AC5" s="85">
        <v>270.67</v>
      </c>
      <c r="AD5" s="85">
        <v>193.33</v>
      </c>
      <c r="AE5" s="85">
        <v>169.24</v>
      </c>
      <c r="AF5" s="85">
        <v>267.22000000000003</v>
      </c>
      <c r="AG5" s="85">
        <v>285.18</v>
      </c>
      <c r="AH5" s="85">
        <v>283.37</v>
      </c>
      <c r="AI5" s="85">
        <v>284.14</v>
      </c>
      <c r="AJ5" s="85">
        <v>284.38</v>
      </c>
      <c r="AK5" s="85">
        <v>283.26</v>
      </c>
      <c r="AL5" s="85">
        <v>281.75</v>
      </c>
      <c r="AM5" s="85">
        <v>296.64</v>
      </c>
      <c r="AN5" s="85">
        <v>285.32</v>
      </c>
      <c r="AO5" s="80"/>
      <c r="AP5" s="80"/>
    </row>
    <row r="6" spans="1:54" ht="21" x14ac:dyDescent="0.25">
      <c r="A6" s="69"/>
      <c r="B6" s="70"/>
      <c r="C6" s="58"/>
      <c r="D6" s="58">
        <v>244</v>
      </c>
      <c r="E6" s="58"/>
      <c r="F6" s="58"/>
      <c r="G6" s="58"/>
      <c r="H6" s="58"/>
      <c r="I6" s="81" t="s">
        <v>34</v>
      </c>
      <c r="J6" s="82">
        <v>268.69</v>
      </c>
      <c r="K6" s="82">
        <v>267.91000000000003</v>
      </c>
      <c r="L6" s="82">
        <v>268.12</v>
      </c>
      <c r="M6" s="82">
        <v>268.5</v>
      </c>
      <c r="N6" s="82">
        <v>268.45999999999998</v>
      </c>
      <c r="O6" s="82">
        <v>268.54000000000002</v>
      </c>
      <c r="P6" s="82">
        <v>266.87</v>
      </c>
      <c r="Q6" s="82">
        <v>257.3</v>
      </c>
      <c r="R6" s="82">
        <v>246.26</v>
      </c>
      <c r="S6" s="82">
        <v>250.36</v>
      </c>
      <c r="T6" s="82">
        <v>245.56</v>
      </c>
      <c r="U6" s="82">
        <v>246.41</v>
      </c>
      <c r="V6" s="82">
        <v>265.05</v>
      </c>
      <c r="W6" s="82">
        <v>271.45</v>
      </c>
      <c r="X6" s="82">
        <v>272.44</v>
      </c>
      <c r="Y6" s="82">
        <v>270.64</v>
      </c>
      <c r="Z6" s="82">
        <v>270.60000000000002</v>
      </c>
      <c r="AA6" s="82">
        <v>272.86</v>
      </c>
      <c r="AB6" s="82">
        <v>271.17</v>
      </c>
      <c r="AC6" s="82">
        <v>270.67</v>
      </c>
      <c r="AD6" s="82">
        <v>193.33</v>
      </c>
      <c r="AE6" s="82">
        <v>169.24</v>
      </c>
      <c r="AF6" s="82">
        <v>267.22000000000003</v>
      </c>
      <c r="AG6" s="82">
        <v>285.18</v>
      </c>
      <c r="AH6" s="82">
        <v>283.37</v>
      </c>
      <c r="AI6" s="82">
        <v>284.14</v>
      </c>
      <c r="AJ6" s="82">
        <v>284.38</v>
      </c>
      <c r="AK6" s="82">
        <v>283.26</v>
      </c>
      <c r="AL6" s="82">
        <v>281.75</v>
      </c>
      <c r="AM6" s="82">
        <v>296.64</v>
      </c>
      <c r="AN6" s="82">
        <v>285.32</v>
      </c>
      <c r="AO6" s="80"/>
      <c r="AP6" s="80"/>
    </row>
    <row r="7" spans="1:54" x14ac:dyDescent="0.25">
      <c r="A7" s="69"/>
      <c r="B7" s="70"/>
      <c r="C7" s="58"/>
      <c r="D7" s="86" t="s">
        <v>218</v>
      </c>
      <c r="E7" s="58"/>
      <c r="F7" s="58"/>
      <c r="G7" s="58">
        <v>10</v>
      </c>
      <c r="H7" s="58"/>
      <c r="I7" s="81" t="s">
        <v>36</v>
      </c>
      <c r="J7" s="82"/>
      <c r="K7" s="82">
        <v>84</v>
      </c>
      <c r="L7" s="82"/>
      <c r="M7" s="82"/>
      <c r="N7" s="82"/>
      <c r="O7" s="82"/>
      <c r="P7" s="82"/>
      <c r="Q7" s="82"/>
      <c r="R7" s="82"/>
      <c r="S7" s="82"/>
      <c r="T7" s="82">
        <v>80</v>
      </c>
      <c r="U7" s="82"/>
      <c r="V7" s="82"/>
      <c r="W7" s="82"/>
      <c r="X7" s="82"/>
      <c r="Y7" s="82">
        <v>85</v>
      </c>
      <c r="Z7" s="82"/>
      <c r="AA7" s="82"/>
      <c r="AB7" s="82"/>
      <c r="AC7" s="82">
        <v>80</v>
      </c>
      <c r="AD7" s="82"/>
      <c r="AE7" s="82"/>
      <c r="AF7" s="82"/>
      <c r="AG7" s="82"/>
      <c r="AH7" s="82"/>
      <c r="AI7" s="82"/>
      <c r="AJ7" s="82">
        <v>80</v>
      </c>
      <c r="AK7" s="82"/>
      <c r="AL7" s="82"/>
      <c r="AM7" s="82"/>
      <c r="AN7" s="82"/>
      <c r="AO7" s="80"/>
      <c r="AP7" s="80"/>
    </row>
    <row r="8" spans="1:54" x14ac:dyDescent="0.25">
      <c r="A8" s="69"/>
      <c r="B8" s="70"/>
      <c r="C8" s="58"/>
      <c r="D8" s="86"/>
      <c r="E8" s="58"/>
      <c r="F8" s="58"/>
      <c r="G8" s="58"/>
      <c r="H8" s="58"/>
      <c r="I8" s="81" t="s">
        <v>37</v>
      </c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>
        <v>79</v>
      </c>
      <c r="AD8" s="82"/>
      <c r="AE8" s="82"/>
      <c r="AF8" s="82"/>
      <c r="AG8" s="82"/>
      <c r="AH8" s="82"/>
      <c r="AI8" s="82"/>
      <c r="AJ8" s="82">
        <v>75</v>
      </c>
      <c r="AK8" s="82"/>
      <c r="AL8" s="82"/>
      <c r="AM8" s="82"/>
      <c r="AN8" s="82"/>
      <c r="AO8" s="80"/>
      <c r="AP8" s="80"/>
    </row>
    <row r="9" spans="1:54" x14ac:dyDescent="0.25">
      <c r="A9" s="69"/>
      <c r="B9" s="70"/>
      <c r="C9" s="58"/>
      <c r="D9" s="86" t="s">
        <v>91</v>
      </c>
      <c r="E9" s="58"/>
      <c r="F9" s="58"/>
      <c r="G9" s="58"/>
      <c r="H9" s="58"/>
      <c r="I9" s="81" t="s">
        <v>38</v>
      </c>
      <c r="J9" s="82"/>
      <c r="K9" s="82">
        <v>0</v>
      </c>
      <c r="L9" s="82"/>
      <c r="M9" s="82"/>
      <c r="N9" s="82"/>
      <c r="O9" s="82"/>
      <c r="P9" s="82"/>
      <c r="Q9" s="82"/>
      <c r="R9" s="82"/>
      <c r="S9" s="82"/>
      <c r="T9" s="82">
        <v>0</v>
      </c>
      <c r="U9" s="82"/>
      <c r="V9" s="82"/>
      <c r="W9" s="82"/>
      <c r="X9" s="82"/>
      <c r="Y9" s="82">
        <v>0</v>
      </c>
      <c r="Z9" s="82"/>
      <c r="AA9" s="82"/>
      <c r="AB9" s="82"/>
      <c r="AC9" s="82">
        <v>0</v>
      </c>
      <c r="AD9" s="82"/>
      <c r="AE9" s="82"/>
      <c r="AF9" s="82"/>
      <c r="AG9" s="82"/>
      <c r="AH9" s="82"/>
      <c r="AI9" s="82"/>
      <c r="AJ9" s="82">
        <v>0</v>
      </c>
      <c r="AK9" s="82"/>
      <c r="AL9" s="82"/>
      <c r="AM9" s="82"/>
      <c r="AN9" s="82"/>
      <c r="AO9" s="80"/>
      <c r="AP9" s="80"/>
    </row>
    <row r="10" spans="1:54" x14ac:dyDescent="0.25">
      <c r="A10" s="69"/>
      <c r="B10" s="70"/>
      <c r="C10" s="58"/>
      <c r="D10" s="86" t="s">
        <v>219</v>
      </c>
      <c r="E10" s="58"/>
      <c r="F10" s="58"/>
      <c r="G10" s="58">
        <v>0</v>
      </c>
      <c r="H10" s="58"/>
      <c r="I10" s="81" t="s">
        <v>40</v>
      </c>
      <c r="J10" s="82"/>
      <c r="K10" s="82">
        <v>6</v>
      </c>
      <c r="L10" s="82"/>
      <c r="M10" s="82"/>
      <c r="N10" s="82"/>
      <c r="O10" s="82"/>
      <c r="P10" s="82"/>
      <c r="Q10" s="82"/>
      <c r="R10" s="82"/>
      <c r="S10" s="82"/>
      <c r="T10" s="82">
        <v>6</v>
      </c>
      <c r="U10" s="82"/>
      <c r="V10" s="82"/>
      <c r="W10" s="82"/>
      <c r="X10" s="82"/>
      <c r="Y10" s="82">
        <v>6</v>
      </c>
      <c r="Z10" s="82"/>
      <c r="AA10" s="82"/>
      <c r="AB10" s="82"/>
      <c r="AC10" s="82">
        <v>6</v>
      </c>
      <c r="AD10" s="82"/>
      <c r="AE10" s="82"/>
      <c r="AF10" s="82"/>
      <c r="AG10" s="82"/>
      <c r="AH10" s="82"/>
      <c r="AI10" s="82"/>
      <c r="AJ10" s="82">
        <v>6</v>
      </c>
      <c r="AK10" s="82"/>
      <c r="AL10" s="82"/>
      <c r="AM10" s="82"/>
      <c r="AN10" s="82"/>
      <c r="AO10" s="80"/>
      <c r="AP10" s="80"/>
    </row>
    <row r="11" spans="1:54" x14ac:dyDescent="0.25">
      <c r="A11" s="69"/>
      <c r="B11" s="70"/>
      <c r="C11" s="58"/>
      <c r="D11" s="86" t="s">
        <v>220</v>
      </c>
      <c r="E11" s="58"/>
      <c r="F11" s="58"/>
      <c r="G11" s="58"/>
      <c r="H11" s="58"/>
      <c r="I11" s="81" t="s">
        <v>42</v>
      </c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0"/>
      <c r="AP11" s="80"/>
    </row>
    <row r="12" spans="1:54" x14ac:dyDescent="0.25">
      <c r="A12" s="69"/>
      <c r="B12" s="70"/>
      <c r="C12" s="58"/>
      <c r="D12" s="86" t="s">
        <v>218</v>
      </c>
      <c r="E12" s="58"/>
      <c r="F12" s="58"/>
      <c r="G12" s="58">
        <v>3</v>
      </c>
      <c r="H12" s="58"/>
      <c r="I12" s="81" t="s">
        <v>44</v>
      </c>
      <c r="J12" s="82"/>
      <c r="K12" s="82">
        <v>162</v>
      </c>
      <c r="L12" s="82"/>
      <c r="M12" s="82"/>
      <c r="N12" s="82"/>
      <c r="O12" s="82"/>
      <c r="P12" s="82"/>
      <c r="Q12" s="82"/>
      <c r="R12" s="82"/>
      <c r="S12" s="82"/>
      <c r="T12" s="82">
        <v>145</v>
      </c>
      <c r="U12" s="82"/>
      <c r="V12" s="82"/>
      <c r="W12" s="82"/>
      <c r="X12" s="82"/>
      <c r="Y12" s="82">
        <v>164</v>
      </c>
      <c r="Z12" s="82"/>
      <c r="AA12" s="82"/>
      <c r="AB12" s="82"/>
      <c r="AC12" s="82">
        <v>162</v>
      </c>
      <c r="AD12" s="82"/>
      <c r="AE12" s="82"/>
      <c r="AF12" s="82"/>
      <c r="AG12" s="82"/>
      <c r="AH12" s="82"/>
      <c r="AI12" s="82"/>
      <c r="AJ12" s="82">
        <v>156</v>
      </c>
      <c r="AK12" s="82"/>
      <c r="AL12" s="82"/>
      <c r="AM12" s="82"/>
      <c r="AN12" s="82"/>
      <c r="AO12" s="80"/>
      <c r="AP12" s="80"/>
    </row>
    <row r="13" spans="1:54" x14ac:dyDescent="0.25">
      <c r="A13" s="69"/>
      <c r="B13" s="70"/>
      <c r="C13" s="58"/>
      <c r="D13" s="58"/>
      <c r="E13" s="58"/>
      <c r="F13" s="58"/>
      <c r="G13" s="58"/>
      <c r="H13" s="58"/>
      <c r="I13" s="81" t="s">
        <v>45</v>
      </c>
      <c r="J13" s="82"/>
      <c r="K13" s="82">
        <v>162</v>
      </c>
      <c r="L13" s="82"/>
      <c r="M13" s="82"/>
      <c r="N13" s="82"/>
      <c r="O13" s="82"/>
      <c r="P13" s="82"/>
      <c r="Q13" s="82"/>
      <c r="R13" s="82"/>
      <c r="S13" s="82"/>
      <c r="T13" s="82">
        <v>145</v>
      </c>
      <c r="U13" s="82"/>
      <c r="V13" s="82"/>
      <c r="W13" s="82"/>
      <c r="X13" s="82"/>
      <c r="Y13" s="82">
        <v>164</v>
      </c>
      <c r="Z13" s="82"/>
      <c r="AA13" s="82"/>
      <c r="AB13" s="82"/>
      <c r="AC13" s="82">
        <v>162</v>
      </c>
      <c r="AD13" s="82"/>
      <c r="AE13" s="82"/>
      <c r="AF13" s="82"/>
      <c r="AG13" s="82"/>
      <c r="AH13" s="82"/>
      <c r="AI13" s="82"/>
      <c r="AJ13" s="82">
        <v>156</v>
      </c>
      <c r="AK13" s="82"/>
      <c r="AL13" s="82"/>
      <c r="AM13" s="82"/>
      <c r="AN13" s="82"/>
      <c r="AO13" s="80"/>
      <c r="AP13" s="80"/>
    </row>
    <row r="14" spans="1:54" x14ac:dyDescent="0.25">
      <c r="A14" s="69"/>
      <c r="B14" s="70"/>
      <c r="C14" s="58"/>
      <c r="D14" s="58"/>
      <c r="E14" s="58"/>
      <c r="F14" s="58"/>
      <c r="G14" s="58"/>
      <c r="H14" s="58"/>
      <c r="I14" s="81" t="s">
        <v>46</v>
      </c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0"/>
      <c r="AP14" s="80"/>
    </row>
    <row r="15" spans="1:54" x14ac:dyDescent="0.25">
      <c r="G15">
        <v>6</v>
      </c>
      <c r="I15" s="81" t="s">
        <v>214</v>
      </c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</row>
    <row r="16" spans="1:54" x14ac:dyDescent="0.25">
      <c r="I16" s="81" t="s">
        <v>215</v>
      </c>
      <c r="J16" s="85">
        <v>84</v>
      </c>
      <c r="K16" s="85">
        <v>84</v>
      </c>
      <c r="L16" s="85">
        <v>83</v>
      </c>
      <c r="M16" s="85">
        <v>83</v>
      </c>
      <c r="N16" s="85">
        <v>84</v>
      </c>
      <c r="O16" s="85">
        <v>83</v>
      </c>
      <c r="P16" s="85">
        <v>82</v>
      </c>
      <c r="Q16" s="85">
        <v>81</v>
      </c>
      <c r="R16" s="85">
        <v>80</v>
      </c>
      <c r="S16" s="85">
        <v>82</v>
      </c>
      <c r="T16" s="85">
        <v>80</v>
      </c>
      <c r="U16" s="85">
        <v>81</v>
      </c>
      <c r="V16" s="85">
        <v>84</v>
      </c>
      <c r="W16" s="85">
        <v>84</v>
      </c>
      <c r="X16" s="85">
        <v>85</v>
      </c>
      <c r="Y16" s="85">
        <v>85</v>
      </c>
      <c r="Z16" s="85">
        <v>84</v>
      </c>
      <c r="AA16" s="85">
        <v>84</v>
      </c>
      <c r="AB16" s="85">
        <v>85</v>
      </c>
      <c r="AC16" s="85">
        <v>59</v>
      </c>
      <c r="AD16" s="85">
        <v>44</v>
      </c>
      <c r="AE16" s="85">
        <v>79</v>
      </c>
      <c r="AF16" s="85">
        <v>81</v>
      </c>
      <c r="AG16" s="85">
        <v>81</v>
      </c>
      <c r="AH16" s="85">
        <v>82</v>
      </c>
      <c r="AI16" s="85">
        <v>82</v>
      </c>
      <c r="AJ16" s="85">
        <v>82</v>
      </c>
      <c r="AK16" s="85">
        <v>82</v>
      </c>
      <c r="AL16" s="85">
        <v>82</v>
      </c>
      <c r="AM16" s="85">
        <v>83</v>
      </c>
      <c r="AN16" s="85">
        <v>83</v>
      </c>
    </row>
    <row r="17" spans="9:43" x14ac:dyDescent="0.25">
      <c r="I17" s="81" t="s">
        <v>216</v>
      </c>
      <c r="J17" s="85">
        <v>162</v>
      </c>
      <c r="K17" s="85">
        <v>162</v>
      </c>
      <c r="L17" s="85">
        <v>161</v>
      </c>
      <c r="M17" s="85">
        <v>162</v>
      </c>
      <c r="N17" s="85">
        <v>163</v>
      </c>
      <c r="O17" s="85">
        <v>160</v>
      </c>
      <c r="P17" s="85">
        <v>150</v>
      </c>
      <c r="Q17" s="85">
        <v>147</v>
      </c>
      <c r="R17" s="85">
        <v>147</v>
      </c>
      <c r="S17" s="85">
        <v>146</v>
      </c>
      <c r="T17" s="85">
        <v>145</v>
      </c>
      <c r="U17" s="85">
        <v>150</v>
      </c>
      <c r="V17" s="82">
        <v>160</v>
      </c>
      <c r="W17" s="85">
        <v>160</v>
      </c>
      <c r="X17" s="85">
        <v>161</v>
      </c>
      <c r="Y17" s="85">
        <v>164</v>
      </c>
      <c r="Z17" s="85">
        <v>157</v>
      </c>
      <c r="AA17" s="85">
        <v>161</v>
      </c>
      <c r="AB17" s="85">
        <v>162</v>
      </c>
      <c r="AC17" s="85">
        <v>162</v>
      </c>
      <c r="AD17" s="85">
        <v>162</v>
      </c>
      <c r="AE17" s="85">
        <v>155</v>
      </c>
      <c r="AF17" s="85">
        <v>156</v>
      </c>
      <c r="AG17" s="85">
        <v>155</v>
      </c>
      <c r="AH17" s="85">
        <v>155</v>
      </c>
      <c r="AI17" s="85">
        <v>156</v>
      </c>
      <c r="AJ17" s="85">
        <v>156</v>
      </c>
      <c r="AK17" s="85">
        <v>156</v>
      </c>
      <c r="AL17" s="85">
        <v>157</v>
      </c>
      <c r="AM17" s="85">
        <v>159</v>
      </c>
      <c r="AN17" s="85">
        <v>160</v>
      </c>
    </row>
    <row r="18" spans="9:43" x14ac:dyDescent="0.25">
      <c r="I18" s="81" t="s">
        <v>217</v>
      </c>
      <c r="J18" s="82"/>
      <c r="K18" s="82">
        <v>84</v>
      </c>
      <c r="L18" s="82"/>
      <c r="M18" s="82"/>
      <c r="N18" s="82"/>
      <c r="O18" s="82"/>
      <c r="P18" s="82"/>
      <c r="Q18" s="82"/>
      <c r="R18" s="82"/>
      <c r="S18" s="82"/>
      <c r="T18" s="82">
        <v>80</v>
      </c>
      <c r="U18" s="82"/>
      <c r="V18" s="82"/>
      <c r="W18" s="82"/>
      <c r="X18" s="82"/>
      <c r="Y18" s="82">
        <v>85</v>
      </c>
      <c r="Z18" s="82"/>
      <c r="AA18" s="82"/>
      <c r="AB18" s="82"/>
      <c r="AC18" s="82">
        <v>80</v>
      </c>
      <c r="AD18" s="82"/>
      <c r="AE18" s="82"/>
      <c r="AF18" s="82"/>
      <c r="AG18" s="82"/>
      <c r="AH18" s="82"/>
      <c r="AI18" s="82"/>
      <c r="AJ18" s="82">
        <v>80</v>
      </c>
      <c r="AK18" s="82"/>
      <c r="AL18" s="82"/>
      <c r="AM18" s="82"/>
      <c r="AN18" s="82"/>
    </row>
    <row r="19" spans="9:43" x14ac:dyDescent="0.25">
      <c r="I19" s="9" t="s">
        <v>52</v>
      </c>
      <c r="J19" s="11"/>
      <c r="K19" s="11"/>
      <c r="L19" s="11"/>
      <c r="M19" s="11" t="s">
        <v>60</v>
      </c>
      <c r="N19" s="11"/>
      <c r="O19" s="11"/>
      <c r="P19" s="11" t="s">
        <v>60</v>
      </c>
      <c r="Q19" s="11"/>
      <c r="R19" s="11"/>
      <c r="S19" s="11"/>
      <c r="T19" s="11"/>
      <c r="U19" s="11"/>
      <c r="V19" s="11" t="s">
        <v>212</v>
      </c>
      <c r="W19" s="11"/>
      <c r="X19" s="11"/>
      <c r="Y19" s="11" t="s">
        <v>210</v>
      </c>
      <c r="Z19" s="11" t="s">
        <v>62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/>
      <c r="M20" s="11" t="s">
        <v>61</v>
      </c>
      <c r="N20" s="11"/>
      <c r="O20" s="11"/>
      <c r="P20" s="11" t="s">
        <v>61</v>
      </c>
      <c r="Q20" s="11"/>
      <c r="R20" s="11"/>
      <c r="S20" s="11"/>
      <c r="T20" s="11"/>
      <c r="U20" s="11"/>
      <c r="V20" s="11" t="s">
        <v>213</v>
      </c>
      <c r="W20" s="11"/>
      <c r="X20" s="11"/>
      <c r="Y20" s="11" t="s">
        <v>211</v>
      </c>
      <c r="Z20" s="11" t="s">
        <v>62</v>
      </c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 t="s">
        <v>62</v>
      </c>
      <c r="Q21" s="11"/>
      <c r="R21" s="11"/>
      <c r="S21" s="11"/>
      <c r="T21" s="11"/>
      <c r="U21" s="11"/>
      <c r="V21" s="11" t="s">
        <v>62</v>
      </c>
      <c r="W21" s="11"/>
      <c r="X21" s="11"/>
      <c r="Y21" s="11" t="s">
        <v>62</v>
      </c>
      <c r="Z21" s="11" t="s">
        <v>62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 t="s">
        <v>62</v>
      </c>
      <c r="Q22" s="11"/>
      <c r="R22" s="11"/>
      <c r="S22" s="11"/>
      <c r="T22" s="11"/>
      <c r="U22" s="11"/>
      <c r="V22" s="11" t="s">
        <v>62</v>
      </c>
      <c r="W22" s="11"/>
      <c r="X22" s="11"/>
      <c r="Y22" s="11" t="s">
        <v>62</v>
      </c>
      <c r="Z22" s="11" t="s">
        <v>62</v>
      </c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25">
      <c r="X25" s="57"/>
    </row>
    <row r="36" spans="23:24" x14ac:dyDescent="0.25">
      <c r="W36" s="57"/>
      <c r="X36" s="57"/>
    </row>
  </sheetData>
  <mergeCells count="35">
    <mergeCell ref="AW1:AY1"/>
    <mergeCell ref="AW2:AY2"/>
    <mergeCell ref="AZ1:BB1"/>
    <mergeCell ref="AZ2:BB2"/>
    <mergeCell ref="AN1:AP1"/>
    <mergeCell ref="AN2:AP2"/>
    <mergeCell ref="AQ1:AS1"/>
    <mergeCell ref="AQ2:AS2"/>
    <mergeCell ref="AT1:AV1"/>
    <mergeCell ref="AT2:AV2"/>
    <mergeCell ref="W2:X2"/>
    <mergeCell ref="Y1:AB1"/>
    <mergeCell ref="Y2:AB2"/>
    <mergeCell ref="AC1:AD1"/>
    <mergeCell ref="AC2:AD2"/>
    <mergeCell ref="D3:E3"/>
    <mergeCell ref="A5:A14"/>
    <mergeCell ref="B5:B14"/>
    <mergeCell ref="A1:G2"/>
    <mergeCell ref="H1:I2"/>
    <mergeCell ref="J1:K1"/>
    <mergeCell ref="J2:K2"/>
    <mergeCell ref="L1:P1"/>
    <mergeCell ref="AE2:AG2"/>
    <mergeCell ref="AH2:AJ2"/>
    <mergeCell ref="AK2:AM2"/>
    <mergeCell ref="L2:P2"/>
    <mergeCell ref="Q1:S1"/>
    <mergeCell ref="Q2:S2"/>
    <mergeCell ref="T1:V1"/>
    <mergeCell ref="T2:V2"/>
    <mergeCell ref="W1:X1"/>
    <mergeCell ref="AE1:AG1"/>
    <mergeCell ref="AH1:AJ1"/>
    <mergeCell ref="AK1:A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2355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BB36"/>
  <sheetViews>
    <sheetView workbookViewId="0">
      <selection activeCell="P18" sqref="P18"/>
    </sheetView>
  </sheetViews>
  <sheetFormatPr defaultRowHeight="15" x14ac:dyDescent="0.25"/>
  <sheetData>
    <row r="1" spans="1:54" ht="15" customHeight="1" x14ac:dyDescent="0.25">
      <c r="A1" s="60" t="s">
        <v>195</v>
      </c>
      <c r="B1" s="63"/>
      <c r="C1" s="63"/>
      <c r="D1" s="63"/>
      <c r="E1" s="63"/>
      <c r="F1" s="63"/>
      <c r="G1" s="63"/>
      <c r="H1" s="60" t="s">
        <v>196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  <c r="AQ1" s="60" t="s">
        <v>111</v>
      </c>
      <c r="AR1" s="61"/>
      <c r="AS1" s="61"/>
      <c r="AT1" s="60"/>
      <c r="AU1" s="61"/>
      <c r="AV1" s="61"/>
      <c r="AW1" s="60" t="s">
        <v>112</v>
      </c>
      <c r="AX1" s="61"/>
      <c r="AY1" s="61"/>
      <c r="AZ1" s="60" t="s">
        <v>113</v>
      </c>
      <c r="BA1" s="61"/>
      <c r="BB1" s="61"/>
    </row>
    <row r="2" spans="1:54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197</v>
      </c>
      <c r="K2" s="66"/>
      <c r="L2" s="65" t="s">
        <v>198</v>
      </c>
      <c r="M2" s="66"/>
      <c r="N2" s="66"/>
      <c r="O2" s="66"/>
      <c r="P2" s="66"/>
      <c r="Q2" s="65" t="s">
        <v>199</v>
      </c>
      <c r="R2" s="66"/>
      <c r="S2" s="66"/>
      <c r="T2" s="65" t="s">
        <v>200</v>
      </c>
      <c r="U2" s="66"/>
      <c r="V2" s="66"/>
      <c r="W2" s="65" t="s">
        <v>201</v>
      </c>
      <c r="X2" s="66"/>
      <c r="Y2" s="65" t="s">
        <v>202</v>
      </c>
      <c r="Z2" s="66"/>
      <c r="AA2" s="66"/>
      <c r="AB2" s="66"/>
      <c r="AC2" s="65" t="s">
        <v>203</v>
      </c>
      <c r="AD2" s="66"/>
      <c r="AE2" s="65" t="s">
        <v>204</v>
      </c>
      <c r="AF2" s="66"/>
      <c r="AG2" s="66"/>
      <c r="AH2" s="65"/>
      <c r="AI2" s="66"/>
      <c r="AJ2" s="66"/>
      <c r="AK2" s="67" t="s">
        <v>205</v>
      </c>
      <c r="AL2" s="66"/>
      <c r="AM2" s="66"/>
      <c r="AN2" s="64" t="s">
        <v>206</v>
      </c>
      <c r="AO2" s="63"/>
      <c r="AP2" s="63"/>
      <c r="AQ2" s="64" t="s">
        <v>92</v>
      </c>
      <c r="AR2" s="63"/>
      <c r="AS2" s="63"/>
      <c r="AT2" s="64"/>
      <c r="AU2" s="63"/>
      <c r="AV2" s="63"/>
      <c r="AW2" s="62" t="s">
        <v>207</v>
      </c>
      <c r="AX2" s="63"/>
      <c r="AY2" s="63"/>
      <c r="AZ2" s="64"/>
      <c r="BA2" s="63"/>
      <c r="BB2" s="63"/>
    </row>
    <row r="3" spans="1:54" ht="21" x14ac:dyDescent="0.25">
      <c r="A3" s="17" t="s">
        <v>21</v>
      </c>
      <c r="B3" s="18" t="s">
        <v>22</v>
      </c>
      <c r="C3" s="18" t="s">
        <v>23</v>
      </c>
      <c r="D3" s="68" t="s">
        <v>24</v>
      </c>
      <c r="E3" s="68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54" ht="21" x14ac:dyDescent="0.25">
      <c r="A4" s="20"/>
      <c r="B4" s="20"/>
      <c r="C4" s="20"/>
      <c r="D4" s="21" t="s">
        <v>26</v>
      </c>
      <c r="E4" s="21" t="s">
        <v>27</v>
      </c>
      <c r="F4" s="20"/>
      <c r="G4" s="20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54" ht="21" x14ac:dyDescent="0.25">
      <c r="A5" s="69" t="s">
        <v>30</v>
      </c>
      <c r="B5" s="70" t="s">
        <v>31</v>
      </c>
      <c r="C5" s="19"/>
      <c r="D5" s="55"/>
      <c r="E5" s="19"/>
      <c r="F5" s="19"/>
      <c r="G5" s="19">
        <v>10</v>
      </c>
      <c r="H5" s="19"/>
      <c r="I5" s="12" t="s">
        <v>32</v>
      </c>
      <c r="J5" s="57">
        <v>243.51</v>
      </c>
      <c r="K5" s="57">
        <v>246.11</v>
      </c>
      <c r="L5" s="57">
        <v>243.81</v>
      </c>
      <c r="M5" s="57">
        <v>238.8</v>
      </c>
      <c r="N5" s="57">
        <v>238.18</v>
      </c>
      <c r="O5" s="57">
        <v>235.2</v>
      </c>
      <c r="P5" s="57">
        <v>232.87</v>
      </c>
      <c r="Q5" s="57">
        <v>231.74</v>
      </c>
      <c r="R5" s="57">
        <v>230.39</v>
      </c>
      <c r="S5" s="57">
        <v>229.9</v>
      </c>
      <c r="T5" s="57">
        <v>229.1</v>
      </c>
      <c r="U5" s="57">
        <v>228.79</v>
      </c>
      <c r="V5" s="57">
        <v>230.5</v>
      </c>
      <c r="W5" s="57">
        <v>230.19</v>
      </c>
      <c r="X5" s="57">
        <v>230.9</v>
      </c>
      <c r="Y5" s="57">
        <v>176.6</v>
      </c>
      <c r="Z5" s="57">
        <v>228.94</v>
      </c>
      <c r="AA5" s="57">
        <v>226.5</v>
      </c>
      <c r="AB5" s="57">
        <v>224.08</v>
      </c>
      <c r="AC5" s="57">
        <v>223.9</v>
      </c>
      <c r="AD5" s="57">
        <v>223.72</v>
      </c>
      <c r="AE5" s="57">
        <v>223.18</v>
      </c>
      <c r="AF5" s="57">
        <v>228.19</v>
      </c>
      <c r="AG5" s="57">
        <v>235.1</v>
      </c>
      <c r="AH5" s="57">
        <v>232.1</v>
      </c>
      <c r="AI5" s="57">
        <v>228.7</v>
      </c>
      <c r="AJ5" s="57">
        <v>235.34</v>
      </c>
      <c r="AK5" s="56"/>
      <c r="AL5" s="56"/>
      <c r="AM5" s="56"/>
      <c r="AN5" s="56"/>
      <c r="AO5" s="16"/>
      <c r="AP5" s="16"/>
    </row>
    <row r="6" spans="1:54" ht="21" x14ac:dyDescent="0.25">
      <c r="A6" s="69"/>
      <c r="B6" s="70"/>
      <c r="C6" s="19"/>
      <c r="D6" s="55"/>
      <c r="E6" s="19"/>
      <c r="F6" s="19"/>
      <c r="G6" s="19"/>
      <c r="H6" s="19"/>
      <c r="I6" s="14" t="s">
        <v>34</v>
      </c>
      <c r="J6" s="56">
        <v>243.51</v>
      </c>
      <c r="K6" s="56">
        <v>246.11</v>
      </c>
      <c r="L6" s="56">
        <v>243.81</v>
      </c>
      <c r="M6" s="56">
        <v>238.8</v>
      </c>
      <c r="N6" s="56">
        <v>238.18</v>
      </c>
      <c r="O6" s="56">
        <v>235.2</v>
      </c>
      <c r="P6" s="56">
        <v>232.87</v>
      </c>
      <c r="Q6" s="56">
        <v>231.74</v>
      </c>
      <c r="R6" s="56">
        <v>230.39</v>
      </c>
      <c r="S6" s="56">
        <v>229.9</v>
      </c>
      <c r="T6" s="56">
        <v>229.1</v>
      </c>
      <c r="U6" s="56">
        <v>228.79</v>
      </c>
      <c r="V6" s="56">
        <v>230.5</v>
      </c>
      <c r="W6" s="56">
        <v>230.19</v>
      </c>
      <c r="X6" s="56">
        <v>230.9</v>
      </c>
      <c r="Y6" s="56">
        <v>176.6</v>
      </c>
      <c r="Z6" s="56">
        <v>228.94</v>
      </c>
      <c r="AA6" s="56">
        <v>226.5</v>
      </c>
      <c r="AB6" s="56">
        <v>224.08</v>
      </c>
      <c r="AC6" s="56">
        <v>223.73</v>
      </c>
      <c r="AD6" s="56">
        <v>223.72</v>
      </c>
      <c r="AE6" s="56">
        <v>223.18</v>
      </c>
      <c r="AF6" s="56">
        <v>228.19</v>
      </c>
      <c r="AG6" s="56">
        <v>235.1</v>
      </c>
      <c r="AH6" s="56">
        <v>232.1</v>
      </c>
      <c r="AI6" s="56">
        <v>228.7</v>
      </c>
      <c r="AJ6" s="56">
        <v>235.34</v>
      </c>
      <c r="AK6" s="56"/>
      <c r="AL6" s="56"/>
      <c r="AM6" s="56"/>
      <c r="AN6" s="56"/>
      <c r="AO6" s="16"/>
      <c r="AP6" s="16"/>
    </row>
    <row r="7" spans="1:54" x14ac:dyDescent="0.25">
      <c r="A7" s="69"/>
      <c r="B7" s="70"/>
      <c r="C7" s="19"/>
      <c r="D7" s="55" t="s">
        <v>193</v>
      </c>
      <c r="E7" s="19"/>
      <c r="F7" s="19"/>
      <c r="G7" s="19">
        <v>10</v>
      </c>
      <c r="H7" s="19"/>
      <c r="I7" s="12" t="s">
        <v>36</v>
      </c>
      <c r="J7" s="56"/>
      <c r="K7" s="56"/>
      <c r="L7" s="56">
        <v>130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>
        <v>127</v>
      </c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16"/>
      <c r="AP7" s="16"/>
    </row>
    <row r="8" spans="1:54" x14ac:dyDescent="0.25">
      <c r="A8" s="69"/>
      <c r="B8" s="70"/>
      <c r="C8" s="19"/>
      <c r="D8" s="55"/>
      <c r="E8" s="19"/>
      <c r="F8" s="19"/>
      <c r="G8" s="19"/>
      <c r="H8" s="19"/>
      <c r="I8" s="18" t="s">
        <v>37</v>
      </c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16"/>
      <c r="AP8" s="16"/>
    </row>
    <row r="9" spans="1:54" x14ac:dyDescent="0.25">
      <c r="A9" s="69"/>
      <c r="B9" s="70"/>
      <c r="C9" s="19"/>
      <c r="D9" s="55" t="s">
        <v>91</v>
      </c>
      <c r="E9" s="19"/>
      <c r="F9" s="19"/>
      <c r="G9" s="19"/>
      <c r="H9" s="19"/>
      <c r="I9" s="18" t="s">
        <v>38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16"/>
      <c r="AP9" s="16"/>
    </row>
    <row r="10" spans="1:54" x14ac:dyDescent="0.25">
      <c r="A10" s="69"/>
      <c r="B10" s="70"/>
      <c r="C10" s="19"/>
      <c r="D10" s="55" t="s">
        <v>92</v>
      </c>
      <c r="E10" s="19"/>
      <c r="F10" s="19"/>
      <c r="G10" s="19">
        <v>0</v>
      </c>
      <c r="H10" s="19"/>
      <c r="I10" s="12" t="s">
        <v>40</v>
      </c>
      <c r="J10" s="56"/>
      <c r="K10" s="56"/>
      <c r="L10" s="56">
        <v>4</v>
      </c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>
        <v>4</v>
      </c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16"/>
      <c r="AP10" s="16"/>
    </row>
    <row r="11" spans="1:54" x14ac:dyDescent="0.25">
      <c r="A11" s="69"/>
      <c r="B11" s="70"/>
      <c r="C11" s="19"/>
      <c r="D11" s="55" t="s">
        <v>126</v>
      </c>
      <c r="E11" s="19"/>
      <c r="F11" s="19"/>
      <c r="G11" s="19"/>
      <c r="H11" s="19"/>
      <c r="I11" s="18" t="s">
        <v>42</v>
      </c>
      <c r="J11" s="56">
        <v>164.55</v>
      </c>
      <c r="K11" s="56">
        <v>164.08</v>
      </c>
      <c r="L11" s="56">
        <v>162.1</v>
      </c>
      <c r="M11" s="56">
        <v>158.88</v>
      </c>
      <c r="N11" s="56">
        <v>159.36000000000001</v>
      </c>
      <c r="O11" s="56">
        <v>158.80000000000001</v>
      </c>
      <c r="P11" s="56">
        <v>156.24</v>
      </c>
      <c r="Q11" s="56">
        <v>157.15</v>
      </c>
      <c r="R11" s="56">
        <v>156.85</v>
      </c>
      <c r="S11" s="56">
        <v>157.26</v>
      </c>
      <c r="T11" s="56">
        <v>156.29</v>
      </c>
      <c r="U11" s="56">
        <v>156.24</v>
      </c>
      <c r="V11" s="56">
        <v>157.93</v>
      </c>
      <c r="W11" s="56">
        <v>175</v>
      </c>
      <c r="X11" s="56">
        <v>159.41999999999999</v>
      </c>
      <c r="Y11" s="56">
        <v>159.16999999999999</v>
      </c>
      <c r="Z11" s="56">
        <v>157.31</v>
      </c>
      <c r="AA11" s="56">
        <v>155.24</v>
      </c>
      <c r="AB11" s="56">
        <v>152.59</v>
      </c>
      <c r="AC11" s="56">
        <v>151.34</v>
      </c>
      <c r="AD11" s="56">
        <v>151.25</v>
      </c>
      <c r="AE11" s="56">
        <v>151.13</v>
      </c>
      <c r="AF11" s="56">
        <v>150.63</v>
      </c>
      <c r="AG11" s="56">
        <v>150.05000000000001</v>
      </c>
      <c r="AH11" s="56">
        <v>146.97999999999999</v>
      </c>
      <c r="AI11" s="56">
        <v>144.88999999999999</v>
      </c>
      <c r="AJ11" s="56"/>
      <c r="AK11" s="56"/>
      <c r="AL11" s="56"/>
      <c r="AM11" s="56"/>
      <c r="AN11" s="56"/>
      <c r="AO11" s="16"/>
      <c r="AP11" s="16"/>
    </row>
    <row r="12" spans="1:54" x14ac:dyDescent="0.25">
      <c r="A12" s="69"/>
      <c r="B12" s="70"/>
      <c r="C12" s="19"/>
      <c r="D12" s="55" t="s">
        <v>194</v>
      </c>
      <c r="E12" s="19"/>
      <c r="F12" s="19"/>
      <c r="G12" s="19">
        <v>3</v>
      </c>
      <c r="H12" s="19"/>
      <c r="I12" s="12" t="s">
        <v>44</v>
      </c>
      <c r="J12" s="56">
        <v>161.1</v>
      </c>
      <c r="K12" s="56">
        <v>161.9</v>
      </c>
      <c r="L12" s="56">
        <v>159.30000000000001</v>
      </c>
      <c r="M12" s="56">
        <v>155.69999999999999</v>
      </c>
      <c r="N12" s="56">
        <v>157.80000000000001</v>
      </c>
      <c r="O12" s="56">
        <v>153.19999999999999</v>
      </c>
      <c r="P12" s="56">
        <v>150.4</v>
      </c>
      <c r="Q12" s="13">
        <v>150.4</v>
      </c>
      <c r="R12" s="13">
        <v>150.4</v>
      </c>
      <c r="S12" s="13">
        <v>150.4</v>
      </c>
      <c r="T12" s="13">
        <v>150.4</v>
      </c>
      <c r="U12" s="56">
        <v>152.69999999999999</v>
      </c>
      <c r="V12" s="56">
        <v>155.6</v>
      </c>
      <c r="W12" s="56">
        <v>155.69999999999999</v>
      </c>
      <c r="X12" s="56">
        <v>156.80000000000001</v>
      </c>
      <c r="Y12" s="13">
        <v>156.80000000000001</v>
      </c>
      <c r="Z12" s="56">
        <v>155.1</v>
      </c>
      <c r="AA12" s="13">
        <v>155.1</v>
      </c>
      <c r="AB12" s="13">
        <v>155.1</v>
      </c>
      <c r="AC12" s="13">
        <v>155.1</v>
      </c>
      <c r="AD12" s="13">
        <v>155.1</v>
      </c>
      <c r="AE12" s="13">
        <v>155.1</v>
      </c>
      <c r="AF12" s="13">
        <v>155.1</v>
      </c>
      <c r="AG12" s="13">
        <v>155.1</v>
      </c>
      <c r="AH12" s="13">
        <v>155.1</v>
      </c>
      <c r="AI12" s="13">
        <v>155.1</v>
      </c>
      <c r="AJ12" s="13">
        <v>155.1</v>
      </c>
      <c r="AK12" s="56"/>
      <c r="AL12" s="56"/>
      <c r="AM12" s="56"/>
      <c r="AN12" s="56"/>
      <c r="AO12" s="16"/>
      <c r="AP12" s="16"/>
    </row>
    <row r="13" spans="1:54" x14ac:dyDescent="0.25">
      <c r="A13" s="69"/>
      <c r="B13" s="70"/>
      <c r="C13" s="19"/>
      <c r="D13" s="55"/>
      <c r="E13" s="19"/>
      <c r="F13" s="19"/>
      <c r="G13" s="19"/>
      <c r="H13" s="19"/>
      <c r="I13" s="18" t="s">
        <v>45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16"/>
      <c r="AP13" s="16"/>
    </row>
    <row r="14" spans="1:54" x14ac:dyDescent="0.25">
      <c r="A14" s="69"/>
      <c r="B14" s="70"/>
      <c r="C14" s="19"/>
      <c r="D14" s="55"/>
      <c r="E14" s="19"/>
      <c r="F14" s="19"/>
      <c r="G14" s="19"/>
      <c r="H14" s="19"/>
      <c r="I14" s="18" t="s">
        <v>46</v>
      </c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16"/>
      <c r="AP14" s="16"/>
    </row>
    <row r="15" spans="1:54" x14ac:dyDescent="0.25">
      <c r="G15">
        <v>6</v>
      </c>
      <c r="I15" s="9" t="s">
        <v>47</v>
      </c>
      <c r="J15">
        <f>IF(OR(J12=0,J5=0), ,J5/J12)</f>
        <v>1.5115456238361267</v>
      </c>
      <c r="K15">
        <f t="shared" ref="K15:AN15" si="0">IF(OR(K12=0,K5=0), ,K5/K12)</f>
        <v>1.5201358863495986</v>
      </c>
      <c r="L15">
        <f t="shared" si="0"/>
        <v>1.5305084745762711</v>
      </c>
      <c r="M15">
        <f t="shared" si="0"/>
        <v>1.5337186897880541</v>
      </c>
      <c r="N15">
        <f t="shared" si="0"/>
        <v>1.5093789607097592</v>
      </c>
      <c r="O15">
        <f t="shared" si="0"/>
        <v>1.535248041775457</v>
      </c>
      <c r="P15">
        <f t="shared" si="0"/>
        <v>1.5483377659574469</v>
      </c>
      <c r="Q15">
        <f t="shared" si="0"/>
        <v>1.5408244680851064</v>
      </c>
      <c r="R15">
        <f t="shared" si="0"/>
        <v>1.5318484042553191</v>
      </c>
      <c r="S15">
        <f t="shared" si="0"/>
        <v>1.5285904255319149</v>
      </c>
      <c r="T15">
        <f t="shared" si="0"/>
        <v>1.5232712765957446</v>
      </c>
      <c r="U15">
        <f t="shared" si="0"/>
        <v>1.4982973149967256</v>
      </c>
      <c r="V15">
        <f t="shared" si="0"/>
        <v>1.481362467866324</v>
      </c>
      <c r="W15">
        <f t="shared" si="0"/>
        <v>1.4784200385356456</v>
      </c>
      <c r="X15">
        <f t="shared" si="0"/>
        <v>1.4725765306122449</v>
      </c>
      <c r="Y15">
        <f t="shared" si="0"/>
        <v>1.1262755102040816</v>
      </c>
      <c r="Z15">
        <f t="shared" si="0"/>
        <v>1.4760799484203739</v>
      </c>
      <c r="AA15">
        <f t="shared" si="0"/>
        <v>1.4603481624758221</v>
      </c>
      <c r="AB15">
        <f t="shared" si="0"/>
        <v>1.4447453255963896</v>
      </c>
      <c r="AC15">
        <f t="shared" si="0"/>
        <v>1.443584784010316</v>
      </c>
      <c r="AD15">
        <f t="shared" si="0"/>
        <v>1.4424242424242424</v>
      </c>
      <c r="AE15">
        <f t="shared" si="0"/>
        <v>1.4389426176660221</v>
      </c>
      <c r="AF15">
        <f t="shared" si="0"/>
        <v>1.4712443584784012</v>
      </c>
      <c r="AG15">
        <f t="shared" si="0"/>
        <v>1.5157962604771116</v>
      </c>
      <c r="AH15">
        <f t="shared" si="0"/>
        <v>1.4964539007092199</v>
      </c>
      <c r="AI15">
        <f t="shared" si="0"/>
        <v>1.4745325596389427</v>
      </c>
      <c r="AJ15">
        <f t="shared" si="0"/>
        <v>1.517343649258543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</row>
    <row r="19" spans="9:43" x14ac:dyDescent="0.25">
      <c r="I19" s="9" t="s">
        <v>52</v>
      </c>
      <c r="J19" s="11"/>
      <c r="K19" s="11"/>
      <c r="L19" s="11"/>
      <c r="M19" s="11" t="s">
        <v>60</v>
      </c>
      <c r="N19" s="11"/>
      <c r="O19" s="11"/>
      <c r="P19" s="11" t="s">
        <v>60</v>
      </c>
      <c r="Q19" s="11"/>
      <c r="R19" s="11"/>
      <c r="S19" s="11"/>
      <c r="T19" s="11"/>
      <c r="U19" s="11"/>
      <c r="V19" s="11" t="s">
        <v>212</v>
      </c>
      <c r="W19" s="11"/>
      <c r="X19" s="11"/>
      <c r="Y19" s="11" t="s">
        <v>210</v>
      </c>
      <c r="Z19" s="11" t="s">
        <v>62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/>
      <c r="M20" s="11" t="s">
        <v>61</v>
      </c>
      <c r="N20" s="11"/>
      <c r="O20" s="11"/>
      <c r="P20" s="11" t="s">
        <v>61</v>
      </c>
      <c r="Q20" s="11"/>
      <c r="R20" s="11"/>
      <c r="S20" s="11"/>
      <c r="T20" s="11"/>
      <c r="U20" s="11"/>
      <c r="V20" s="11" t="s">
        <v>213</v>
      </c>
      <c r="W20" s="11"/>
      <c r="X20" s="11"/>
      <c r="Y20" s="11" t="s">
        <v>211</v>
      </c>
      <c r="Z20" s="11" t="s">
        <v>62</v>
      </c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 t="s">
        <v>62</v>
      </c>
      <c r="Q21" s="11"/>
      <c r="R21" s="11"/>
      <c r="S21" s="11"/>
      <c r="T21" s="11"/>
      <c r="U21" s="11"/>
      <c r="V21" s="11" t="s">
        <v>62</v>
      </c>
      <c r="W21" s="11"/>
      <c r="X21" s="11"/>
      <c r="Y21" s="11" t="s">
        <v>62</v>
      </c>
      <c r="Z21" s="11" t="s">
        <v>62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 t="s">
        <v>62</v>
      </c>
      <c r="Q22" s="11"/>
      <c r="R22" s="11"/>
      <c r="S22" s="11"/>
      <c r="T22" s="11"/>
      <c r="U22" s="11"/>
      <c r="V22" s="11" t="s">
        <v>62</v>
      </c>
      <c r="W22" s="11"/>
      <c r="X22" s="11"/>
      <c r="Y22" s="11" t="s">
        <v>62</v>
      </c>
      <c r="Z22" s="11" t="s">
        <v>62</v>
      </c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35">
    <mergeCell ref="AC1:AD1"/>
    <mergeCell ref="AC2:AD2"/>
    <mergeCell ref="AE1:AG1"/>
    <mergeCell ref="T1:V1"/>
    <mergeCell ref="T2:V2"/>
    <mergeCell ref="W1:X1"/>
    <mergeCell ref="W2:X2"/>
    <mergeCell ref="Y1:AB1"/>
    <mergeCell ref="Y2:AB2"/>
    <mergeCell ref="J1:K1"/>
    <mergeCell ref="J2:K2"/>
    <mergeCell ref="L1:P1"/>
    <mergeCell ref="L2:P2"/>
    <mergeCell ref="Q1:S1"/>
    <mergeCell ref="Q2:S2"/>
    <mergeCell ref="D3:E3"/>
    <mergeCell ref="A5:A14"/>
    <mergeCell ref="B5:B14"/>
    <mergeCell ref="A1:G2"/>
    <mergeCell ref="H1:I2"/>
    <mergeCell ref="AE2:AG2"/>
    <mergeCell ref="AH1:AJ1"/>
    <mergeCell ref="AH2:AJ2"/>
    <mergeCell ref="AK1:AM1"/>
    <mergeCell ref="AK2:AM2"/>
    <mergeCell ref="AW1:AY1"/>
    <mergeCell ref="AW2:AY2"/>
    <mergeCell ref="AZ1:BB1"/>
    <mergeCell ref="AZ2:BB2"/>
    <mergeCell ref="AN1:AP1"/>
    <mergeCell ref="AN2:AP2"/>
    <mergeCell ref="AQ1:AS1"/>
    <mergeCell ref="AQ2:AS2"/>
    <mergeCell ref="AT1:AV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BB36"/>
  <sheetViews>
    <sheetView topLeftCell="A7" workbookViewId="0">
      <selection activeCell="F14" sqref="F14"/>
    </sheetView>
  </sheetViews>
  <sheetFormatPr defaultRowHeight="15" x14ac:dyDescent="0.25"/>
  <sheetData>
    <row r="1" spans="1:54" ht="15" customHeight="1" x14ac:dyDescent="0.25">
      <c r="A1" s="60" t="s">
        <v>180</v>
      </c>
      <c r="B1" s="60"/>
      <c r="C1" s="60"/>
      <c r="D1" s="60"/>
      <c r="E1" s="60"/>
      <c r="F1" s="60"/>
      <c r="G1" s="60"/>
      <c r="H1" s="60" t="s">
        <v>181</v>
      </c>
      <c r="I1" s="60"/>
      <c r="J1" s="60" t="s">
        <v>2</v>
      </c>
      <c r="K1" s="60"/>
      <c r="L1" s="60" t="s">
        <v>3</v>
      </c>
      <c r="M1" s="60"/>
      <c r="N1" s="60"/>
      <c r="O1" s="60"/>
      <c r="P1" s="60"/>
      <c r="Q1" s="60" t="s">
        <v>4</v>
      </c>
      <c r="R1" s="60"/>
      <c r="S1" s="60"/>
      <c r="T1" s="60" t="s">
        <v>5</v>
      </c>
      <c r="U1" s="60"/>
      <c r="V1" s="60"/>
      <c r="W1" s="60" t="s">
        <v>6</v>
      </c>
      <c r="X1" s="60"/>
      <c r="Y1" s="60" t="s">
        <v>7</v>
      </c>
      <c r="Z1" s="60"/>
      <c r="AA1" s="60"/>
      <c r="AB1" s="60"/>
      <c r="AC1" s="60" t="s">
        <v>8</v>
      </c>
      <c r="AD1" s="60"/>
      <c r="AE1" s="60"/>
      <c r="AF1" s="60"/>
      <c r="AG1" s="60"/>
      <c r="AH1" s="60"/>
      <c r="AI1" s="60"/>
      <c r="AJ1" s="60"/>
      <c r="AK1" s="60" t="s">
        <v>9</v>
      </c>
      <c r="AL1" s="60"/>
      <c r="AM1" s="60"/>
      <c r="AN1" s="60" t="s">
        <v>10</v>
      </c>
      <c r="AO1" s="60"/>
      <c r="AP1" s="60"/>
      <c r="AQ1" s="60" t="s">
        <v>111</v>
      </c>
      <c r="AR1" s="60"/>
      <c r="AS1" s="60"/>
      <c r="AT1" s="60"/>
      <c r="AU1" s="60"/>
      <c r="AV1" s="60"/>
      <c r="AW1" s="60" t="s">
        <v>112</v>
      </c>
      <c r="AX1" s="60"/>
      <c r="AY1" s="60"/>
      <c r="AZ1" s="60" t="s">
        <v>113</v>
      </c>
      <c r="BA1" s="60"/>
      <c r="BB1" s="60"/>
    </row>
    <row r="2" spans="1:54" ht="15" customHeight="1" x14ac:dyDescent="0.25">
      <c r="A2" s="71"/>
      <c r="B2" s="71"/>
      <c r="C2" s="71"/>
      <c r="D2" s="71"/>
      <c r="E2" s="71"/>
      <c r="F2" s="71"/>
      <c r="G2" s="71"/>
      <c r="H2" s="71"/>
      <c r="I2" s="71"/>
      <c r="J2" s="67" t="s">
        <v>182</v>
      </c>
      <c r="K2" s="67"/>
      <c r="L2" s="67" t="s">
        <v>183</v>
      </c>
      <c r="M2" s="67"/>
      <c r="N2" s="67"/>
      <c r="O2" s="67"/>
      <c r="P2" s="67"/>
      <c r="Q2" s="67" t="s">
        <v>184</v>
      </c>
      <c r="R2" s="67"/>
      <c r="S2" s="67"/>
      <c r="T2" s="67" t="s">
        <v>185</v>
      </c>
      <c r="U2" s="67"/>
      <c r="V2" s="67"/>
      <c r="W2" s="67" t="s">
        <v>186</v>
      </c>
      <c r="X2" s="67"/>
      <c r="Y2" s="67" t="s">
        <v>187</v>
      </c>
      <c r="Z2" s="67"/>
      <c r="AA2" s="67"/>
      <c r="AB2" s="67"/>
      <c r="AC2" s="67" t="s">
        <v>188</v>
      </c>
      <c r="AD2" s="67"/>
      <c r="AE2" s="67" t="s">
        <v>189</v>
      </c>
      <c r="AF2" s="67"/>
      <c r="AG2" s="67"/>
      <c r="AH2" s="65"/>
      <c r="AI2" s="65"/>
      <c r="AJ2" s="65"/>
      <c r="AK2" s="67" t="s">
        <v>190</v>
      </c>
      <c r="AL2" s="67"/>
      <c r="AM2" s="67"/>
      <c r="AN2" s="62" t="s">
        <v>191</v>
      </c>
      <c r="AO2" s="62"/>
      <c r="AP2" s="62"/>
      <c r="AQ2" s="64" t="s">
        <v>92</v>
      </c>
      <c r="AR2" s="64"/>
      <c r="AS2" s="64"/>
      <c r="AT2" s="64"/>
      <c r="AU2" s="64"/>
      <c r="AV2" s="64"/>
      <c r="AW2" s="64" t="s">
        <v>192</v>
      </c>
      <c r="AX2" s="64"/>
      <c r="AY2" s="64"/>
      <c r="AZ2" s="64"/>
      <c r="BA2" s="64"/>
      <c r="BB2" s="64"/>
    </row>
    <row r="3" spans="1:54" ht="21" x14ac:dyDescent="0.25">
      <c r="A3" s="17" t="s">
        <v>21</v>
      </c>
      <c r="B3" s="18" t="s">
        <v>22</v>
      </c>
      <c r="C3" s="18" t="s">
        <v>23</v>
      </c>
      <c r="D3" s="68" t="s">
        <v>24</v>
      </c>
      <c r="E3" s="68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54" ht="21" x14ac:dyDescent="0.25">
      <c r="A4" s="20"/>
      <c r="B4" s="20"/>
      <c r="C4" s="20"/>
      <c r="D4" s="21" t="s">
        <v>26</v>
      </c>
      <c r="E4" s="21" t="s">
        <v>27</v>
      </c>
      <c r="F4" s="20"/>
      <c r="G4" s="20" t="s">
        <v>48</v>
      </c>
      <c r="H4" s="20"/>
      <c r="I4" s="21" t="s">
        <v>28</v>
      </c>
      <c r="J4" s="52" t="s">
        <v>29</v>
      </c>
      <c r="K4" s="52" t="s">
        <v>29</v>
      </c>
      <c r="L4" s="52" t="s">
        <v>29</v>
      </c>
      <c r="M4" s="52" t="s">
        <v>29</v>
      </c>
      <c r="N4" s="52" t="s">
        <v>29</v>
      </c>
      <c r="O4" s="52" t="s">
        <v>29</v>
      </c>
      <c r="P4" s="52" t="s">
        <v>29</v>
      </c>
      <c r="Q4" s="52" t="s">
        <v>29</v>
      </c>
      <c r="R4" s="52" t="s">
        <v>29</v>
      </c>
      <c r="S4" s="52" t="s">
        <v>29</v>
      </c>
      <c r="T4" s="52" t="s">
        <v>29</v>
      </c>
      <c r="U4" s="52" t="s">
        <v>29</v>
      </c>
      <c r="V4" s="52" t="s">
        <v>29</v>
      </c>
      <c r="W4" s="52" t="s">
        <v>29</v>
      </c>
      <c r="X4" s="52" t="s">
        <v>29</v>
      </c>
      <c r="Y4" s="52" t="s">
        <v>29</v>
      </c>
      <c r="Z4" s="52" t="s">
        <v>29</v>
      </c>
      <c r="AA4" s="52" t="s">
        <v>29</v>
      </c>
      <c r="AB4" s="52" t="s">
        <v>29</v>
      </c>
      <c r="AC4" s="52" t="s">
        <v>29</v>
      </c>
      <c r="AD4" s="52" t="s">
        <v>29</v>
      </c>
      <c r="AE4" s="52" t="s">
        <v>29</v>
      </c>
      <c r="AF4" s="52" t="s">
        <v>29</v>
      </c>
      <c r="AG4" s="52" t="s">
        <v>29</v>
      </c>
      <c r="AH4" s="52" t="s">
        <v>29</v>
      </c>
      <c r="AI4" s="52" t="s">
        <v>29</v>
      </c>
      <c r="AJ4" s="52" t="s">
        <v>29</v>
      </c>
      <c r="AK4" s="52" t="s">
        <v>29</v>
      </c>
      <c r="AL4" s="52" t="s">
        <v>29</v>
      </c>
      <c r="AM4" s="52" t="s">
        <v>29</v>
      </c>
      <c r="AN4" s="52" t="s">
        <v>29</v>
      </c>
      <c r="AO4" s="16"/>
      <c r="AP4" s="16"/>
    </row>
    <row r="5" spans="1:54" ht="21" x14ac:dyDescent="0.25">
      <c r="A5" s="69" t="s">
        <v>30</v>
      </c>
      <c r="B5" s="70" t="s">
        <v>31</v>
      </c>
      <c r="C5" s="19"/>
      <c r="D5" s="58"/>
      <c r="E5" s="19"/>
      <c r="F5" s="19"/>
      <c r="G5" s="19">
        <v>10</v>
      </c>
      <c r="H5" s="19"/>
      <c r="I5" s="12" t="s">
        <v>32</v>
      </c>
      <c r="J5" s="54">
        <v>132.21</v>
      </c>
      <c r="K5" s="54">
        <v>128.91999999999999</v>
      </c>
      <c r="L5" s="54">
        <v>125.21</v>
      </c>
      <c r="M5" s="54">
        <v>125.11</v>
      </c>
      <c r="N5" s="54">
        <v>122.12</v>
      </c>
      <c r="O5" s="54">
        <v>107.01</v>
      </c>
      <c r="P5" s="54">
        <v>102.53</v>
      </c>
      <c r="Q5" s="54">
        <v>104.48</v>
      </c>
      <c r="R5" s="54">
        <v>107.5</v>
      </c>
      <c r="S5" s="54">
        <v>107.03</v>
      </c>
      <c r="T5" s="54">
        <v>104.29</v>
      </c>
      <c r="U5" s="54">
        <v>101.69</v>
      </c>
      <c r="V5" s="54">
        <v>102.5</v>
      </c>
      <c r="W5" s="54">
        <v>100.88</v>
      </c>
      <c r="X5" s="54">
        <v>107.04</v>
      </c>
      <c r="Y5" s="54">
        <v>101.29</v>
      </c>
      <c r="Z5" s="54">
        <v>106.01</v>
      </c>
      <c r="AA5" s="54">
        <v>104.09</v>
      </c>
      <c r="AB5" s="54">
        <v>104.49</v>
      </c>
      <c r="AC5" s="54">
        <v>102.39</v>
      </c>
      <c r="AD5" s="54">
        <v>105.89</v>
      </c>
      <c r="AE5" s="54">
        <v>106.19</v>
      </c>
      <c r="AF5" s="54">
        <v>105</v>
      </c>
      <c r="AG5" s="54">
        <v>117.7</v>
      </c>
      <c r="AH5" s="54">
        <v>119.7</v>
      </c>
      <c r="AI5" s="54">
        <v>115.61</v>
      </c>
      <c r="AJ5" s="54">
        <v>116.7</v>
      </c>
      <c r="AK5" s="53"/>
      <c r="AL5" s="53"/>
      <c r="AM5" s="53"/>
      <c r="AN5" s="53"/>
      <c r="AO5" s="16"/>
      <c r="AP5" s="16"/>
    </row>
    <row r="6" spans="1:54" ht="21" x14ac:dyDescent="0.25">
      <c r="A6" s="69"/>
      <c r="B6" s="70"/>
      <c r="C6" s="19"/>
      <c r="D6" s="58"/>
      <c r="E6" s="19"/>
      <c r="F6" s="19"/>
      <c r="G6" s="19"/>
      <c r="H6" s="19"/>
      <c r="I6" s="14" t="s">
        <v>34</v>
      </c>
      <c r="J6" s="53">
        <v>132.21</v>
      </c>
      <c r="K6" s="53">
        <v>128.91999999999999</v>
      </c>
      <c r="L6" s="53">
        <v>125.21</v>
      </c>
      <c r="M6" s="53">
        <v>125.11</v>
      </c>
      <c r="N6" s="53">
        <v>122.12</v>
      </c>
      <c r="O6" s="53">
        <v>107.01</v>
      </c>
      <c r="P6" s="53">
        <v>102.53</v>
      </c>
      <c r="Q6" s="53">
        <v>104.48</v>
      </c>
      <c r="R6" s="53">
        <v>107.5</v>
      </c>
      <c r="S6" s="53">
        <v>107.03</v>
      </c>
      <c r="T6" s="53">
        <v>104.29</v>
      </c>
      <c r="U6" s="53">
        <v>101.69</v>
      </c>
      <c r="V6" s="53">
        <v>102.5</v>
      </c>
      <c r="W6" s="53">
        <v>100.88</v>
      </c>
      <c r="X6" s="53">
        <v>107.04</v>
      </c>
      <c r="Y6" s="53">
        <v>101.29</v>
      </c>
      <c r="Z6" s="53">
        <v>106.01</v>
      </c>
      <c r="AA6" s="53">
        <v>104.09</v>
      </c>
      <c r="AB6" s="53">
        <v>104.49</v>
      </c>
      <c r="AC6" s="53">
        <v>100.5</v>
      </c>
      <c r="AD6" s="53">
        <v>105.89</v>
      </c>
      <c r="AE6" s="53">
        <v>106.19</v>
      </c>
      <c r="AF6" s="53">
        <v>105</v>
      </c>
      <c r="AG6" s="53">
        <v>117.7</v>
      </c>
      <c r="AH6" s="53">
        <v>119.7</v>
      </c>
      <c r="AI6" s="53">
        <v>115.61</v>
      </c>
      <c r="AJ6" s="53">
        <v>116.7</v>
      </c>
      <c r="AK6" s="53"/>
      <c r="AL6" s="53"/>
      <c r="AM6" s="53"/>
      <c r="AN6" s="53"/>
      <c r="AO6" s="16"/>
      <c r="AP6" s="16"/>
    </row>
    <row r="7" spans="1:54" x14ac:dyDescent="0.25">
      <c r="A7" s="69"/>
      <c r="B7" s="70"/>
      <c r="C7" s="19"/>
      <c r="D7" s="58" t="s">
        <v>208</v>
      </c>
      <c r="E7" s="19"/>
      <c r="F7" s="19"/>
      <c r="G7" s="19">
        <v>10</v>
      </c>
      <c r="H7" s="19"/>
      <c r="I7" s="12" t="s">
        <v>36</v>
      </c>
      <c r="J7" s="53"/>
      <c r="K7" s="53"/>
      <c r="L7" s="53">
        <v>115</v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>
        <v>92</v>
      </c>
      <c r="X7" s="53"/>
      <c r="Y7" s="53"/>
      <c r="Z7" s="53">
        <v>96</v>
      </c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16"/>
      <c r="AP7" s="16"/>
    </row>
    <row r="8" spans="1:54" x14ac:dyDescent="0.25">
      <c r="A8" s="69"/>
      <c r="B8" s="70"/>
      <c r="C8" s="19"/>
      <c r="D8" s="58"/>
      <c r="E8" s="19"/>
      <c r="F8" s="19"/>
      <c r="G8" s="19"/>
      <c r="H8" s="19"/>
      <c r="I8" s="18" t="s">
        <v>37</v>
      </c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16"/>
      <c r="AP8" s="16"/>
    </row>
    <row r="9" spans="1:54" x14ac:dyDescent="0.25">
      <c r="A9" s="69"/>
      <c r="B9" s="70"/>
      <c r="C9" s="19"/>
      <c r="D9" s="58" t="s">
        <v>91</v>
      </c>
      <c r="E9" s="19"/>
      <c r="F9" s="19"/>
      <c r="G9" s="19"/>
      <c r="H9" s="19"/>
      <c r="I9" s="18" t="s">
        <v>38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16"/>
      <c r="AP9" s="16"/>
    </row>
    <row r="10" spans="1:54" x14ac:dyDescent="0.25">
      <c r="A10" s="69"/>
      <c r="B10" s="70"/>
      <c r="C10" s="19"/>
      <c r="D10" s="58" t="s">
        <v>92</v>
      </c>
      <c r="E10" s="19"/>
      <c r="F10" s="19"/>
      <c r="G10" s="19">
        <v>0</v>
      </c>
      <c r="H10" s="19"/>
      <c r="I10" s="12" t="s">
        <v>40</v>
      </c>
      <c r="J10" s="53"/>
      <c r="K10" s="53"/>
      <c r="L10" s="53">
        <v>4</v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>
        <v>4</v>
      </c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16"/>
      <c r="AP10" s="16"/>
    </row>
    <row r="11" spans="1:54" x14ac:dyDescent="0.25">
      <c r="A11" s="69"/>
      <c r="B11" s="70"/>
      <c r="C11" s="19"/>
      <c r="D11" s="58" t="s">
        <v>209</v>
      </c>
      <c r="E11" s="19"/>
      <c r="F11" s="19"/>
      <c r="G11" s="19"/>
      <c r="H11" s="19"/>
      <c r="I11" s="18" t="s">
        <v>42</v>
      </c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16"/>
      <c r="AP11" s="16"/>
    </row>
    <row r="12" spans="1:54" x14ac:dyDescent="0.25">
      <c r="A12" s="69"/>
      <c r="B12" s="70"/>
      <c r="C12" s="19"/>
      <c r="D12" s="58" t="s">
        <v>209</v>
      </c>
      <c r="E12" s="19"/>
      <c r="F12" s="19"/>
      <c r="G12" s="19">
        <v>3</v>
      </c>
      <c r="H12" s="19"/>
      <c r="I12" s="12" t="s">
        <v>44</v>
      </c>
      <c r="J12" s="53">
        <v>147.30000000000001</v>
      </c>
      <c r="K12" s="53">
        <v>146.5</v>
      </c>
      <c r="L12" s="53">
        <v>143.19999999999999</v>
      </c>
      <c r="M12" s="53">
        <v>144.5</v>
      </c>
      <c r="N12" s="53">
        <v>144.9</v>
      </c>
      <c r="O12" s="53">
        <v>118.5</v>
      </c>
      <c r="P12" s="53">
        <v>113.3</v>
      </c>
      <c r="Q12" s="13">
        <v>113.3</v>
      </c>
      <c r="R12" s="13">
        <v>113.3</v>
      </c>
      <c r="S12" s="13">
        <v>113.3</v>
      </c>
      <c r="T12" s="13">
        <v>113.3</v>
      </c>
      <c r="U12" s="53">
        <v>112.7</v>
      </c>
      <c r="V12" s="53">
        <v>114</v>
      </c>
      <c r="W12" s="53">
        <v>112</v>
      </c>
      <c r="X12" s="13">
        <v>112</v>
      </c>
      <c r="Y12" s="53">
        <v>111.5</v>
      </c>
      <c r="Z12" s="53">
        <v>118.38</v>
      </c>
      <c r="AA12" s="13">
        <v>118.38</v>
      </c>
      <c r="AB12" s="13">
        <v>118.38</v>
      </c>
      <c r="AC12" s="13">
        <v>118.38</v>
      </c>
      <c r="AD12" s="53">
        <v>116</v>
      </c>
      <c r="AE12" s="53">
        <v>116.8</v>
      </c>
      <c r="AF12" s="13">
        <v>116.8</v>
      </c>
      <c r="AG12" s="13">
        <v>116.8</v>
      </c>
      <c r="AH12" s="13">
        <v>116.8</v>
      </c>
      <c r="AI12" s="13">
        <v>116.8</v>
      </c>
      <c r="AJ12" s="13">
        <v>116.8</v>
      </c>
      <c r="AK12" s="53"/>
      <c r="AL12" s="53"/>
      <c r="AM12" s="53"/>
      <c r="AN12" s="53"/>
      <c r="AO12" s="16"/>
      <c r="AP12" s="16"/>
    </row>
    <row r="13" spans="1:54" x14ac:dyDescent="0.25">
      <c r="A13" s="69"/>
      <c r="B13" s="70"/>
      <c r="C13" s="19"/>
      <c r="D13" s="58"/>
      <c r="E13" s="19"/>
      <c r="F13" s="19"/>
      <c r="G13" s="19"/>
      <c r="H13" s="19"/>
      <c r="I13" s="18" t="s">
        <v>45</v>
      </c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16"/>
      <c r="AP13" s="16"/>
    </row>
    <row r="14" spans="1:54" x14ac:dyDescent="0.25">
      <c r="A14" s="69"/>
      <c r="B14" s="70"/>
      <c r="C14" s="19"/>
      <c r="D14" s="58"/>
      <c r="E14" s="19"/>
      <c r="F14" s="19"/>
      <c r="G14" s="19"/>
      <c r="H14" s="19"/>
      <c r="I14" s="18" t="s">
        <v>46</v>
      </c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16"/>
      <c r="AP14" s="16"/>
    </row>
    <row r="15" spans="1:54" x14ac:dyDescent="0.25">
      <c r="G15">
        <v>6</v>
      </c>
      <c r="I15" s="9" t="s">
        <v>47</v>
      </c>
      <c r="J15">
        <f>IF(OR(J12=0,J5=0), ,J5/J12)</f>
        <v>0.89755600814663949</v>
      </c>
      <c r="K15">
        <f t="shared" ref="K15:AN15" si="0">IF(OR(K12=0,K5=0), ,K5/K12)</f>
        <v>0.87999999999999989</v>
      </c>
      <c r="L15">
        <f t="shared" si="0"/>
        <v>0.87437150837988831</v>
      </c>
      <c r="M15">
        <f t="shared" si="0"/>
        <v>0.86581314878892734</v>
      </c>
      <c r="N15">
        <f t="shared" si="0"/>
        <v>0.84278812974465145</v>
      </c>
      <c r="O15">
        <f t="shared" si="0"/>
        <v>0.9030379746835443</v>
      </c>
      <c r="P15">
        <f t="shared" si="0"/>
        <v>0.90494263018534871</v>
      </c>
      <c r="Q15">
        <f t="shared" si="0"/>
        <v>0.92215357458075908</v>
      </c>
      <c r="R15">
        <f t="shared" si="0"/>
        <v>0.94880847308031779</v>
      </c>
      <c r="S15">
        <f t="shared" si="0"/>
        <v>0.94466019417475733</v>
      </c>
      <c r="T15">
        <f t="shared" si="0"/>
        <v>0.92047661076787302</v>
      </c>
      <c r="U15">
        <f t="shared" si="0"/>
        <v>0.90230700976042588</v>
      </c>
      <c r="V15">
        <f t="shared" si="0"/>
        <v>0.89912280701754388</v>
      </c>
      <c r="W15">
        <f t="shared" si="0"/>
        <v>0.90071428571428569</v>
      </c>
      <c r="X15">
        <f t="shared" si="0"/>
        <v>0.95571428571428574</v>
      </c>
      <c r="Y15">
        <f t="shared" si="0"/>
        <v>0.90843049327354264</v>
      </c>
      <c r="Z15">
        <f t="shared" si="0"/>
        <v>0.89550599763473571</v>
      </c>
      <c r="AA15">
        <f t="shared" si="0"/>
        <v>0.87928704173002203</v>
      </c>
      <c r="AB15">
        <f t="shared" si="0"/>
        <v>0.88266599087683728</v>
      </c>
      <c r="AC15">
        <f t="shared" si="0"/>
        <v>0.86492650785605685</v>
      </c>
      <c r="AD15">
        <f t="shared" si="0"/>
        <v>0.91284482758620689</v>
      </c>
      <c r="AE15">
        <f t="shared" si="0"/>
        <v>0.90916095890410964</v>
      </c>
      <c r="AF15">
        <f t="shared" si="0"/>
        <v>0.89897260273972601</v>
      </c>
      <c r="AG15">
        <f t="shared" si="0"/>
        <v>1.0077054794520548</v>
      </c>
      <c r="AH15">
        <f t="shared" si="0"/>
        <v>1.0248287671232876</v>
      </c>
      <c r="AI15">
        <f t="shared" si="0"/>
        <v>0.98981164383561648</v>
      </c>
      <c r="AJ15">
        <f t="shared" si="0"/>
        <v>0.99914383561643838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</row>
    <row r="19" spans="9:43" x14ac:dyDescent="0.25">
      <c r="I19" s="9" t="s">
        <v>52</v>
      </c>
      <c r="J19" s="11"/>
      <c r="K19" s="11"/>
      <c r="L19" s="11"/>
      <c r="M19" s="11"/>
      <c r="N19" s="11"/>
      <c r="O19" s="11"/>
      <c r="P19" s="11" t="s">
        <v>60</v>
      </c>
      <c r="Q19" s="11"/>
      <c r="R19" s="11"/>
      <c r="S19" s="11"/>
      <c r="T19" s="11"/>
      <c r="U19" s="11"/>
      <c r="V19" s="11"/>
      <c r="W19" s="11"/>
      <c r="X19" s="11"/>
      <c r="Y19" s="11"/>
      <c r="Z19" s="11" t="s">
        <v>212</v>
      </c>
      <c r="AA19" s="11"/>
      <c r="AB19" s="11"/>
      <c r="AC19" s="11"/>
      <c r="AD19" s="11"/>
      <c r="AE19" s="11"/>
      <c r="AF19" s="11"/>
      <c r="AG19" s="11" t="s">
        <v>62</v>
      </c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/>
      <c r="M20" s="11"/>
      <c r="N20" s="11"/>
      <c r="O20" s="11"/>
      <c r="P20" s="11" t="s">
        <v>61</v>
      </c>
      <c r="Q20" s="11"/>
      <c r="R20" s="11"/>
      <c r="S20" s="11"/>
      <c r="T20" s="11"/>
      <c r="U20" s="11"/>
      <c r="V20" s="11"/>
      <c r="W20" s="11"/>
      <c r="X20" s="11"/>
      <c r="Y20" s="11"/>
      <c r="Z20" s="11" t="s">
        <v>213</v>
      </c>
      <c r="AA20" s="11"/>
      <c r="AB20" s="11"/>
      <c r="AC20" s="11"/>
      <c r="AD20" s="11"/>
      <c r="AE20" s="11"/>
      <c r="AF20" s="11"/>
      <c r="AG20" s="11" t="s">
        <v>62</v>
      </c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 t="s">
        <v>62</v>
      </c>
      <c r="AA21" s="11"/>
      <c r="AB21" s="11"/>
      <c r="AC21" s="11"/>
      <c r="AD21" s="11"/>
      <c r="AE21" s="11"/>
      <c r="AF21" s="11"/>
      <c r="AG21" s="11" t="s">
        <v>62</v>
      </c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 t="s">
        <v>62</v>
      </c>
      <c r="AA22" s="11"/>
      <c r="AB22" s="11"/>
      <c r="AC22" s="11"/>
      <c r="AD22" s="11"/>
      <c r="AE22" s="11"/>
      <c r="AF22" s="11"/>
      <c r="AG22" s="11" t="s">
        <v>62</v>
      </c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35">
    <mergeCell ref="AH2:AJ2"/>
    <mergeCell ref="AK1:AM1"/>
    <mergeCell ref="AK2:AM2"/>
    <mergeCell ref="D3:E3"/>
    <mergeCell ref="A5:A14"/>
    <mergeCell ref="B5:B14"/>
    <mergeCell ref="Y1:AB1"/>
    <mergeCell ref="Q1:S1"/>
    <mergeCell ref="Q2:S2"/>
    <mergeCell ref="T1:V1"/>
    <mergeCell ref="T2:V2"/>
    <mergeCell ref="W1:X1"/>
    <mergeCell ref="W2:X2"/>
    <mergeCell ref="A1:G2"/>
    <mergeCell ref="H1:I2"/>
    <mergeCell ref="J1:K1"/>
    <mergeCell ref="J2:K2"/>
    <mergeCell ref="L1:P1"/>
    <mergeCell ref="L2:P2"/>
    <mergeCell ref="AW1:AY1"/>
    <mergeCell ref="AW2:AY2"/>
    <mergeCell ref="AZ1:BB1"/>
    <mergeCell ref="AZ2:BB2"/>
    <mergeCell ref="Y2:AB2"/>
    <mergeCell ref="AC1:AD1"/>
    <mergeCell ref="AC2:AD2"/>
    <mergeCell ref="AE1:AG1"/>
    <mergeCell ref="AE2:AG2"/>
    <mergeCell ref="AN1:AP1"/>
    <mergeCell ref="AN2:AP2"/>
    <mergeCell ref="AQ1:AS1"/>
    <mergeCell ref="AQ2:AS2"/>
    <mergeCell ref="AT1:AV1"/>
    <mergeCell ref="AT2:AV2"/>
    <mergeCell ref="AH1:AJ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BB36"/>
  <sheetViews>
    <sheetView workbookViewId="0">
      <selection activeCell="G4" sqref="G4:G15"/>
    </sheetView>
  </sheetViews>
  <sheetFormatPr defaultRowHeight="15" x14ac:dyDescent="0.25"/>
  <sheetData>
    <row r="1" spans="1:54" ht="15" customHeight="1" x14ac:dyDescent="0.25">
      <c r="A1" s="60" t="s">
        <v>165</v>
      </c>
      <c r="B1" s="63"/>
      <c r="C1" s="63"/>
      <c r="D1" s="63"/>
      <c r="E1" s="63"/>
      <c r="F1" s="63"/>
      <c r="G1" s="63"/>
      <c r="H1" s="60" t="s">
        <v>177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  <c r="AQ1" s="60" t="s">
        <v>111</v>
      </c>
      <c r="AR1" s="61"/>
      <c r="AS1" s="61"/>
      <c r="AT1" s="60"/>
      <c r="AU1" s="61"/>
      <c r="AV1" s="61"/>
      <c r="AW1" s="60" t="s">
        <v>112</v>
      </c>
      <c r="AX1" s="61"/>
      <c r="AY1" s="61"/>
      <c r="AZ1" s="60" t="s">
        <v>113</v>
      </c>
      <c r="BA1" s="61"/>
      <c r="BB1" s="61"/>
    </row>
    <row r="2" spans="1:54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178</v>
      </c>
      <c r="M2" s="66"/>
      <c r="N2" s="66"/>
      <c r="O2" s="66"/>
      <c r="P2" s="66"/>
      <c r="Q2" s="65" t="s">
        <v>92</v>
      </c>
      <c r="R2" s="66"/>
      <c r="S2" s="66"/>
      <c r="T2" s="65" t="s">
        <v>166</v>
      </c>
      <c r="U2" s="66"/>
      <c r="V2" s="66"/>
      <c r="W2" s="65" t="s">
        <v>167</v>
      </c>
      <c r="X2" s="66"/>
      <c r="Y2" s="65" t="s">
        <v>172</v>
      </c>
      <c r="Z2" s="66"/>
      <c r="AA2" s="66"/>
      <c r="AB2" s="66"/>
      <c r="AC2" s="65" t="s">
        <v>168</v>
      </c>
      <c r="AD2" s="66"/>
      <c r="AE2" s="67" t="s">
        <v>169</v>
      </c>
      <c r="AF2" s="66"/>
      <c r="AG2" s="66"/>
      <c r="AH2" s="65"/>
      <c r="AI2" s="66"/>
      <c r="AJ2" s="66"/>
      <c r="AK2" s="67" t="s">
        <v>170</v>
      </c>
      <c r="AL2" s="66"/>
      <c r="AM2" s="66"/>
      <c r="AN2" s="64" t="s">
        <v>173</v>
      </c>
      <c r="AO2" s="63"/>
      <c r="AP2" s="63"/>
      <c r="AQ2" s="64" t="s">
        <v>39</v>
      </c>
      <c r="AR2" s="63"/>
      <c r="AS2" s="63"/>
      <c r="AT2" s="64"/>
      <c r="AU2" s="63"/>
      <c r="AV2" s="63"/>
      <c r="AW2" s="62" t="s">
        <v>174</v>
      </c>
      <c r="AX2" s="63"/>
      <c r="AY2" s="63"/>
      <c r="AZ2" s="64" t="s">
        <v>179</v>
      </c>
      <c r="BA2" s="63"/>
      <c r="BB2" s="63"/>
    </row>
    <row r="3" spans="1:54" ht="21" x14ac:dyDescent="0.25">
      <c r="A3" s="41" t="s">
        <v>21</v>
      </c>
      <c r="B3" s="42" t="s">
        <v>22</v>
      </c>
      <c r="C3" s="42" t="s">
        <v>23</v>
      </c>
      <c r="D3" s="72" t="s">
        <v>24</v>
      </c>
      <c r="E3" s="73"/>
      <c r="F3" s="43"/>
      <c r="G3" s="43"/>
      <c r="H3" s="43"/>
      <c r="I3" s="42" t="s">
        <v>25</v>
      </c>
      <c r="J3" s="42">
        <v>1</v>
      </c>
      <c r="K3" s="42">
        <v>2</v>
      </c>
      <c r="L3" s="42">
        <v>3</v>
      </c>
      <c r="M3" s="42">
        <v>4</v>
      </c>
      <c r="N3" s="42">
        <v>5</v>
      </c>
      <c r="O3" s="42">
        <v>6</v>
      </c>
      <c r="P3" s="42">
        <v>7</v>
      </c>
      <c r="Q3" s="42">
        <v>8</v>
      </c>
      <c r="R3" s="42">
        <v>9</v>
      </c>
      <c r="S3" s="42">
        <v>10</v>
      </c>
      <c r="T3" s="42">
        <v>11</v>
      </c>
      <c r="U3" s="42">
        <v>12</v>
      </c>
      <c r="V3" s="42">
        <v>13</v>
      </c>
      <c r="W3" s="42">
        <v>14</v>
      </c>
      <c r="X3" s="42">
        <v>15</v>
      </c>
      <c r="Y3" s="42">
        <v>16</v>
      </c>
      <c r="Z3" s="42">
        <v>17</v>
      </c>
      <c r="AA3" s="42">
        <v>18</v>
      </c>
      <c r="AB3" s="42">
        <v>19</v>
      </c>
      <c r="AC3" s="42">
        <v>20</v>
      </c>
      <c r="AD3" s="42">
        <v>21</v>
      </c>
      <c r="AE3" s="42">
        <v>22</v>
      </c>
      <c r="AF3" s="42">
        <v>23</v>
      </c>
      <c r="AG3" s="42">
        <v>24</v>
      </c>
      <c r="AH3" s="42">
        <v>25</v>
      </c>
      <c r="AI3" s="42">
        <v>26</v>
      </c>
      <c r="AJ3" s="42">
        <v>27</v>
      </c>
      <c r="AK3" s="42">
        <v>28</v>
      </c>
      <c r="AL3" s="42">
        <v>29</v>
      </c>
      <c r="AM3" s="42">
        <v>30</v>
      </c>
      <c r="AN3" s="42">
        <v>31</v>
      </c>
      <c r="AO3" s="40"/>
      <c r="AP3" s="40"/>
    </row>
    <row r="4" spans="1:54" ht="21" x14ac:dyDescent="0.25">
      <c r="A4" s="44"/>
      <c r="B4" s="44"/>
      <c r="C4" s="44"/>
      <c r="D4" s="45" t="s">
        <v>26</v>
      </c>
      <c r="E4" s="45" t="s">
        <v>27</v>
      </c>
      <c r="F4" s="44"/>
      <c r="G4" s="59" t="s">
        <v>48</v>
      </c>
      <c r="H4" s="44"/>
      <c r="I4" s="45" t="s">
        <v>28</v>
      </c>
      <c r="J4" s="46" t="s">
        <v>29</v>
      </c>
      <c r="K4" s="46" t="s">
        <v>29</v>
      </c>
      <c r="L4" s="46" t="s">
        <v>29</v>
      </c>
      <c r="M4" s="46" t="s">
        <v>29</v>
      </c>
      <c r="N4" s="46" t="s">
        <v>29</v>
      </c>
      <c r="O4" s="46" t="s">
        <v>29</v>
      </c>
      <c r="P4" s="46" t="s">
        <v>29</v>
      </c>
      <c r="Q4" s="46" t="s">
        <v>29</v>
      </c>
      <c r="R4" s="46" t="s">
        <v>29</v>
      </c>
      <c r="S4" s="46" t="s">
        <v>29</v>
      </c>
      <c r="T4" s="46" t="s">
        <v>29</v>
      </c>
      <c r="U4" s="46" t="s">
        <v>29</v>
      </c>
      <c r="V4" s="46" t="s">
        <v>29</v>
      </c>
      <c r="W4" s="46" t="s">
        <v>29</v>
      </c>
      <c r="X4" s="46" t="s">
        <v>29</v>
      </c>
      <c r="Y4" s="46" t="s">
        <v>29</v>
      </c>
      <c r="Z4" s="46" t="s">
        <v>29</v>
      </c>
      <c r="AA4" s="46" t="s">
        <v>29</v>
      </c>
      <c r="AB4" s="46" t="s">
        <v>29</v>
      </c>
      <c r="AC4" s="46" t="s">
        <v>29</v>
      </c>
      <c r="AD4" s="46" t="s">
        <v>29</v>
      </c>
      <c r="AE4" s="46" t="s">
        <v>29</v>
      </c>
      <c r="AF4" s="46" t="s">
        <v>29</v>
      </c>
      <c r="AG4" s="46" t="s">
        <v>29</v>
      </c>
      <c r="AH4" s="46" t="s">
        <v>29</v>
      </c>
      <c r="AI4" s="46" t="s">
        <v>29</v>
      </c>
      <c r="AJ4" s="46" t="s">
        <v>29</v>
      </c>
      <c r="AK4" s="46" t="s">
        <v>29</v>
      </c>
      <c r="AL4" s="46" t="s">
        <v>29</v>
      </c>
      <c r="AM4" s="46" t="s">
        <v>29</v>
      </c>
      <c r="AN4" s="46" t="s">
        <v>29</v>
      </c>
      <c r="AO4" s="40"/>
      <c r="AP4" s="40"/>
    </row>
    <row r="5" spans="1:54" ht="21" customHeight="1" x14ac:dyDescent="0.25">
      <c r="A5" s="74" t="s">
        <v>30</v>
      </c>
      <c r="B5" s="77" t="s">
        <v>31</v>
      </c>
      <c r="C5" s="43"/>
      <c r="D5" s="49"/>
      <c r="E5" s="43"/>
      <c r="F5" s="43"/>
      <c r="G5" s="58">
        <v>10</v>
      </c>
      <c r="H5" s="43"/>
      <c r="I5" s="12" t="s">
        <v>32</v>
      </c>
      <c r="J5" s="47">
        <v>235.69</v>
      </c>
      <c r="K5" s="47">
        <v>218.8</v>
      </c>
      <c r="L5" s="47">
        <v>189.44</v>
      </c>
      <c r="M5" s="47">
        <v>201.99</v>
      </c>
      <c r="N5" s="47">
        <v>178.97</v>
      </c>
      <c r="O5" s="47">
        <v>197.76</v>
      </c>
      <c r="P5" s="47">
        <v>183.47</v>
      </c>
      <c r="Q5" s="47">
        <v>196.69</v>
      </c>
      <c r="R5" s="47">
        <v>181.7</v>
      </c>
      <c r="S5" s="47">
        <v>195.5</v>
      </c>
      <c r="T5" s="47">
        <v>185.9</v>
      </c>
      <c r="U5" s="47">
        <v>189.89</v>
      </c>
      <c r="V5" s="47">
        <v>177.23</v>
      </c>
      <c r="W5" s="47">
        <v>201.59</v>
      </c>
      <c r="X5" s="47">
        <v>184.54</v>
      </c>
      <c r="Y5" s="47">
        <v>188.39</v>
      </c>
      <c r="Z5" s="47">
        <v>107.32</v>
      </c>
      <c r="AA5" s="47">
        <v>48.25</v>
      </c>
      <c r="AB5" s="47">
        <v>37.93</v>
      </c>
      <c r="AC5" s="47">
        <v>31.44</v>
      </c>
      <c r="AD5" s="47">
        <v>23.58</v>
      </c>
      <c r="AE5" s="47">
        <v>21.53</v>
      </c>
      <c r="AF5" s="47">
        <v>19.8</v>
      </c>
      <c r="AG5" s="47">
        <v>15.31</v>
      </c>
      <c r="AH5" s="47">
        <v>20.23</v>
      </c>
      <c r="AI5" s="47">
        <v>15.01</v>
      </c>
      <c r="AJ5" s="47">
        <v>24.79</v>
      </c>
      <c r="AK5" s="43"/>
      <c r="AL5" s="43"/>
      <c r="AM5" s="43"/>
      <c r="AN5" s="43"/>
      <c r="AO5" s="40"/>
      <c r="AP5" s="40"/>
    </row>
    <row r="6" spans="1:54" ht="21" x14ac:dyDescent="0.25">
      <c r="A6" s="75"/>
      <c r="B6" s="78"/>
      <c r="C6" s="43"/>
      <c r="D6" s="49"/>
      <c r="E6" s="43"/>
      <c r="F6" s="43"/>
      <c r="G6" s="58"/>
      <c r="H6" s="43"/>
      <c r="I6" s="14" t="s">
        <v>34</v>
      </c>
      <c r="J6" s="43">
        <v>235.69</v>
      </c>
      <c r="K6" s="43">
        <v>218.8</v>
      </c>
      <c r="L6" s="43">
        <v>189.44</v>
      </c>
      <c r="M6" s="43">
        <v>201.99</v>
      </c>
      <c r="N6" s="43">
        <v>178.97</v>
      </c>
      <c r="O6" s="43">
        <v>197.76</v>
      </c>
      <c r="P6" s="43">
        <v>183.47</v>
      </c>
      <c r="Q6" s="43">
        <v>196.69</v>
      </c>
      <c r="R6" s="43">
        <v>181.7</v>
      </c>
      <c r="S6" s="43">
        <v>195.5</v>
      </c>
      <c r="T6" s="43">
        <v>185.9</v>
      </c>
      <c r="U6" s="43">
        <v>189.89</v>
      </c>
      <c r="V6" s="43">
        <v>177.23</v>
      </c>
      <c r="W6" s="43">
        <v>201.59</v>
      </c>
      <c r="X6" s="43">
        <v>190</v>
      </c>
      <c r="Y6" s="43">
        <v>188.39</v>
      </c>
      <c r="Z6" s="43">
        <v>107.32</v>
      </c>
      <c r="AA6" s="43">
        <v>48.25</v>
      </c>
      <c r="AB6" s="43">
        <v>37.93</v>
      </c>
      <c r="AC6" s="43">
        <v>31.44</v>
      </c>
      <c r="AD6" s="43">
        <v>23.58</v>
      </c>
      <c r="AE6" s="43">
        <v>21.53</v>
      </c>
      <c r="AF6" s="43">
        <v>19.8</v>
      </c>
      <c r="AG6" s="43">
        <v>15.31</v>
      </c>
      <c r="AH6" s="43">
        <v>20.23</v>
      </c>
      <c r="AI6" s="43">
        <v>15.01</v>
      </c>
      <c r="AJ6" s="43">
        <v>24.79</v>
      </c>
      <c r="AK6" s="43"/>
      <c r="AL6" s="43"/>
      <c r="AM6" s="43"/>
      <c r="AN6" s="43"/>
      <c r="AO6" s="40"/>
      <c r="AP6" s="40"/>
    </row>
    <row r="7" spans="1:54" x14ac:dyDescent="0.25">
      <c r="A7" s="75"/>
      <c r="B7" s="78"/>
      <c r="C7" s="43"/>
      <c r="D7" s="49" t="s">
        <v>75</v>
      </c>
      <c r="E7" s="43"/>
      <c r="F7" s="43"/>
      <c r="G7" s="58">
        <v>10</v>
      </c>
      <c r="H7" s="43"/>
      <c r="I7" s="12" t="s">
        <v>36</v>
      </c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>
        <v>152</v>
      </c>
      <c r="W7" s="43"/>
      <c r="X7" s="43"/>
      <c r="Y7" s="43"/>
      <c r="Z7" s="43">
        <v>122</v>
      </c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0"/>
      <c r="AP7" s="40"/>
    </row>
    <row r="8" spans="1:54" x14ac:dyDescent="0.25">
      <c r="A8" s="75"/>
      <c r="B8" s="78"/>
      <c r="C8" s="43"/>
      <c r="D8" s="49"/>
      <c r="E8" s="43"/>
      <c r="F8" s="43"/>
      <c r="G8" s="58"/>
      <c r="H8" s="43"/>
      <c r="I8" s="42" t="s">
        <v>37</v>
      </c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0"/>
      <c r="AP8" s="40"/>
    </row>
    <row r="9" spans="1:54" x14ac:dyDescent="0.25">
      <c r="A9" s="75"/>
      <c r="B9" s="78"/>
      <c r="C9" s="43"/>
      <c r="D9" s="49" t="s">
        <v>91</v>
      </c>
      <c r="E9" s="43"/>
      <c r="F9" s="43"/>
      <c r="G9" s="58"/>
      <c r="H9" s="43"/>
      <c r="I9" s="42" t="s">
        <v>38</v>
      </c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0"/>
      <c r="AP9" s="40"/>
    </row>
    <row r="10" spans="1:54" x14ac:dyDescent="0.25">
      <c r="A10" s="75"/>
      <c r="B10" s="78"/>
      <c r="C10" s="43"/>
      <c r="D10" s="49" t="s">
        <v>175</v>
      </c>
      <c r="E10" s="43"/>
      <c r="F10" s="43"/>
      <c r="G10" s="58">
        <v>0</v>
      </c>
      <c r="H10" s="43"/>
      <c r="I10" s="12" t="s">
        <v>40</v>
      </c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>
        <v>2</v>
      </c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0"/>
      <c r="AP10" s="40"/>
    </row>
    <row r="11" spans="1:54" x14ac:dyDescent="0.25">
      <c r="A11" s="75"/>
      <c r="B11" s="78"/>
      <c r="C11" s="43"/>
      <c r="D11" s="49" t="s">
        <v>163</v>
      </c>
      <c r="E11" s="43"/>
      <c r="F11" s="43"/>
      <c r="G11" s="58"/>
      <c r="H11" s="43"/>
      <c r="I11" s="42" t="s">
        <v>42</v>
      </c>
      <c r="J11" s="43">
        <v>194.51</v>
      </c>
      <c r="K11" s="43">
        <v>184.87</v>
      </c>
      <c r="L11" s="43">
        <v>172.64</v>
      </c>
      <c r="M11" s="43">
        <v>176.91</v>
      </c>
      <c r="N11" s="43">
        <v>173.26</v>
      </c>
      <c r="O11" s="43">
        <v>174.94</v>
      </c>
      <c r="P11" s="43">
        <v>169.29</v>
      </c>
      <c r="Q11" s="43">
        <v>175.36</v>
      </c>
      <c r="R11" s="43">
        <v>171.75</v>
      </c>
      <c r="S11" s="43">
        <v>173.87</v>
      </c>
      <c r="T11" s="43">
        <v>172.39</v>
      </c>
      <c r="U11" s="43">
        <v>171.29</v>
      </c>
      <c r="V11" s="43">
        <v>167.15</v>
      </c>
      <c r="W11" s="43">
        <v>190</v>
      </c>
      <c r="X11" s="43">
        <v>172.25</v>
      </c>
      <c r="Y11" s="43">
        <v>169.55</v>
      </c>
      <c r="Z11" s="43">
        <v>174.38</v>
      </c>
      <c r="AA11" s="43">
        <v>176.47</v>
      </c>
      <c r="AB11" s="43">
        <v>175.92</v>
      </c>
      <c r="AC11" s="43">
        <v>175.55</v>
      </c>
      <c r="AD11" s="43">
        <v>174.06</v>
      </c>
      <c r="AE11" s="43">
        <v>182.58</v>
      </c>
      <c r="AF11" s="43">
        <v>169.81</v>
      </c>
      <c r="AG11" s="43">
        <v>166.6</v>
      </c>
      <c r="AH11" s="43">
        <v>171.34</v>
      </c>
      <c r="AI11" s="43">
        <v>164.1</v>
      </c>
      <c r="AJ11" s="43"/>
      <c r="AK11" s="43"/>
      <c r="AL11" s="43"/>
      <c r="AM11" s="43"/>
      <c r="AN11" s="43"/>
      <c r="AO11" s="40"/>
      <c r="AP11" s="40"/>
    </row>
    <row r="12" spans="1:54" x14ac:dyDescent="0.25">
      <c r="A12" s="75"/>
      <c r="B12" s="78"/>
      <c r="C12" s="43"/>
      <c r="D12" s="49" t="s">
        <v>176</v>
      </c>
      <c r="E12" s="43"/>
      <c r="F12" s="43"/>
      <c r="G12" s="58">
        <v>3</v>
      </c>
      <c r="H12" s="43"/>
      <c r="I12" s="12" t="s">
        <v>44</v>
      </c>
      <c r="J12" s="43">
        <v>174.3</v>
      </c>
      <c r="K12" s="43">
        <v>169.3</v>
      </c>
      <c r="L12" s="43">
        <v>157.80000000000001</v>
      </c>
      <c r="M12" s="43">
        <v>162.4</v>
      </c>
      <c r="N12" s="43">
        <v>154.30000000000001</v>
      </c>
      <c r="O12" s="43">
        <v>158.1</v>
      </c>
      <c r="P12" s="43">
        <v>156.1</v>
      </c>
      <c r="Q12" s="13">
        <v>156.1</v>
      </c>
      <c r="R12" s="43">
        <v>154.9</v>
      </c>
      <c r="S12" s="13">
        <v>154.9</v>
      </c>
      <c r="T12" s="43">
        <v>157.4</v>
      </c>
      <c r="U12" s="43">
        <v>158.5</v>
      </c>
      <c r="V12" s="48">
        <v>154.6</v>
      </c>
      <c r="W12" s="13">
        <v>154.6</v>
      </c>
      <c r="X12" s="43">
        <v>157</v>
      </c>
      <c r="Y12" s="43">
        <v>158.5</v>
      </c>
      <c r="Z12" s="43">
        <v>162</v>
      </c>
      <c r="AA12" s="43">
        <v>166.8</v>
      </c>
      <c r="AB12" s="43">
        <v>163.19999999999999</v>
      </c>
      <c r="AC12" s="43">
        <v>166.3</v>
      </c>
      <c r="AD12" s="43">
        <v>156.9</v>
      </c>
      <c r="AE12" s="43">
        <v>157.4</v>
      </c>
      <c r="AF12" s="13">
        <v>157.4</v>
      </c>
      <c r="AG12" s="13">
        <v>157.4</v>
      </c>
      <c r="AH12" s="13">
        <v>157.4</v>
      </c>
      <c r="AI12" s="50">
        <v>155.80000000000001</v>
      </c>
      <c r="AJ12" s="13">
        <v>155.80000000000001</v>
      </c>
      <c r="AK12" s="43"/>
      <c r="AL12" s="43"/>
      <c r="AM12" s="43"/>
      <c r="AN12" s="43"/>
      <c r="AO12" s="40"/>
      <c r="AP12" s="40"/>
    </row>
    <row r="13" spans="1:54" x14ac:dyDescent="0.25">
      <c r="A13" s="75"/>
      <c r="B13" s="78"/>
      <c r="C13" s="43"/>
      <c r="D13" s="49"/>
      <c r="E13" s="43"/>
      <c r="F13" s="43"/>
      <c r="G13" s="58"/>
      <c r="H13" s="43"/>
      <c r="I13" s="42" t="s">
        <v>45</v>
      </c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0"/>
      <c r="AP13" s="40"/>
    </row>
    <row r="14" spans="1:54" ht="15" customHeight="1" x14ac:dyDescent="0.25">
      <c r="A14" s="76"/>
      <c r="B14" s="79"/>
      <c r="C14" s="43"/>
      <c r="D14" s="49"/>
      <c r="E14" s="43"/>
      <c r="F14" s="43"/>
      <c r="G14" s="58"/>
      <c r="H14" s="43"/>
      <c r="I14" s="42" t="s">
        <v>46</v>
      </c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 t="s">
        <v>171</v>
      </c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0"/>
      <c r="AP14" s="40"/>
    </row>
    <row r="15" spans="1:54" x14ac:dyDescent="0.25">
      <c r="G15">
        <v>6</v>
      </c>
      <c r="I15" s="9" t="s">
        <v>47</v>
      </c>
      <c r="J15">
        <f>IF(OR(J12=0,J5=0), ,J5/J12)</f>
        <v>1.3522088353413653</v>
      </c>
      <c r="K15">
        <f t="shared" ref="K15:AN15" si="0">IF(OR(K12=0,K5=0), ,K5/K12)</f>
        <v>1.2923803898405197</v>
      </c>
      <c r="L15">
        <f t="shared" si="0"/>
        <v>1.200506970849176</v>
      </c>
      <c r="M15">
        <f t="shared" si="0"/>
        <v>1.2437807881773399</v>
      </c>
      <c r="N15">
        <f t="shared" si="0"/>
        <v>1.1598833441348022</v>
      </c>
      <c r="O15">
        <f t="shared" si="0"/>
        <v>1.2508538899430739</v>
      </c>
      <c r="P15">
        <f t="shared" si="0"/>
        <v>1.1753363228699552</v>
      </c>
      <c r="Q15">
        <f t="shared" si="0"/>
        <v>1.2600256245996158</v>
      </c>
      <c r="R15">
        <f t="shared" si="0"/>
        <v>1.1730148482892186</v>
      </c>
      <c r="S15">
        <f t="shared" si="0"/>
        <v>1.2621045836023241</v>
      </c>
      <c r="T15">
        <f t="shared" si="0"/>
        <v>1.1810673443456163</v>
      </c>
      <c r="U15">
        <f t="shared" si="0"/>
        <v>1.1980441640378547</v>
      </c>
      <c r="V15">
        <f t="shared" si="0"/>
        <v>1.1463777490297542</v>
      </c>
      <c r="W15">
        <f t="shared" si="0"/>
        <v>1.3039456662354463</v>
      </c>
      <c r="X15">
        <f t="shared" si="0"/>
        <v>1.1754140127388535</v>
      </c>
      <c r="Y15">
        <f t="shared" si="0"/>
        <v>1.1885804416403785</v>
      </c>
      <c r="Z15">
        <f t="shared" si="0"/>
        <v>0.66246913580246913</v>
      </c>
      <c r="AA15">
        <f t="shared" si="0"/>
        <v>0.28926858513189446</v>
      </c>
      <c r="AB15">
        <f t="shared" si="0"/>
        <v>0.23241421568627452</v>
      </c>
      <c r="AC15">
        <f t="shared" si="0"/>
        <v>0.18905592303066746</v>
      </c>
      <c r="AD15">
        <f t="shared" si="0"/>
        <v>0.15028680688336518</v>
      </c>
      <c r="AE15">
        <f t="shared" si="0"/>
        <v>0.13678526048284625</v>
      </c>
      <c r="AF15">
        <f t="shared" si="0"/>
        <v>0.12579415501905972</v>
      </c>
      <c r="AG15">
        <f t="shared" si="0"/>
        <v>9.7268106734434562E-2</v>
      </c>
      <c r="AH15">
        <f t="shared" si="0"/>
        <v>0.12852604828462516</v>
      </c>
      <c r="AI15">
        <f t="shared" si="0"/>
        <v>9.6341463414634135E-2</v>
      </c>
      <c r="AJ15">
        <f t="shared" si="0"/>
        <v>0.15911424903722721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  <c r="AG18" s="51"/>
    </row>
    <row r="19" spans="9:43" x14ac:dyDescent="0.25">
      <c r="I19" s="9" t="s">
        <v>52</v>
      </c>
      <c r="J19" s="11"/>
      <c r="K19" s="11"/>
      <c r="L19" s="11" t="s">
        <v>210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 t="s">
        <v>210</v>
      </c>
      <c r="AA19" s="11" t="s">
        <v>210</v>
      </c>
      <c r="AB19" s="11" t="s">
        <v>210</v>
      </c>
      <c r="AC19" s="11" t="s">
        <v>210</v>
      </c>
      <c r="AD19" s="11" t="s">
        <v>210</v>
      </c>
      <c r="AE19" s="11"/>
      <c r="AF19" s="11" t="s">
        <v>210</v>
      </c>
      <c r="AG19" s="11" t="s">
        <v>210</v>
      </c>
      <c r="AH19" s="11" t="s">
        <v>62</v>
      </c>
      <c r="AI19" s="11" t="s">
        <v>210</v>
      </c>
      <c r="AJ19" s="11" t="s">
        <v>62</v>
      </c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 t="s">
        <v>211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 t="s">
        <v>211</v>
      </c>
      <c r="AA20" s="11" t="s">
        <v>211</v>
      </c>
      <c r="AB20" s="11" t="s">
        <v>211</v>
      </c>
      <c r="AC20" s="11" t="s">
        <v>211</v>
      </c>
      <c r="AD20" s="11" t="s">
        <v>211</v>
      </c>
      <c r="AE20" s="11"/>
      <c r="AF20" s="11" t="s">
        <v>211</v>
      </c>
      <c r="AG20" s="11" t="s">
        <v>211</v>
      </c>
      <c r="AH20" s="11" t="s">
        <v>62</v>
      </c>
      <c r="AI20" s="11" t="s">
        <v>211</v>
      </c>
      <c r="AJ20" s="11" t="s">
        <v>62</v>
      </c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 t="s">
        <v>62</v>
      </c>
      <c r="AA21" s="11" t="s">
        <v>62</v>
      </c>
      <c r="AB21" s="11" t="s">
        <v>62</v>
      </c>
      <c r="AC21" s="11" t="s">
        <v>62</v>
      </c>
      <c r="AD21" s="11" t="s">
        <v>62</v>
      </c>
      <c r="AE21" s="11"/>
      <c r="AF21" s="11" t="s">
        <v>62</v>
      </c>
      <c r="AG21" s="11" t="s">
        <v>62</v>
      </c>
      <c r="AH21" s="11" t="s">
        <v>62</v>
      </c>
      <c r="AI21" s="11" t="s">
        <v>62</v>
      </c>
      <c r="AJ21" s="11" t="s">
        <v>62</v>
      </c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 t="s">
        <v>62</v>
      </c>
      <c r="AA22" s="11" t="s">
        <v>62</v>
      </c>
      <c r="AB22" s="11" t="s">
        <v>62</v>
      </c>
      <c r="AC22" s="11" t="s">
        <v>62</v>
      </c>
      <c r="AD22" s="11" t="s">
        <v>62</v>
      </c>
      <c r="AE22" s="11"/>
      <c r="AF22" s="11" t="s">
        <v>62</v>
      </c>
      <c r="AG22" s="11" t="s">
        <v>62</v>
      </c>
      <c r="AH22" s="11" t="s">
        <v>62</v>
      </c>
      <c r="AI22" s="11" t="s">
        <v>62</v>
      </c>
      <c r="AJ22" s="11" t="s">
        <v>62</v>
      </c>
      <c r="AK22" s="11"/>
      <c r="AL22" s="11"/>
      <c r="AM22" s="11"/>
      <c r="AN22" s="11"/>
      <c r="AO22" s="10"/>
      <c r="AP22" s="10"/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35">
    <mergeCell ref="AC1:AD1"/>
    <mergeCell ref="AC2:AD2"/>
    <mergeCell ref="AE1:AG1"/>
    <mergeCell ref="T1:V1"/>
    <mergeCell ref="T2:V2"/>
    <mergeCell ref="W1:X1"/>
    <mergeCell ref="W2:X2"/>
    <mergeCell ref="Y1:AB1"/>
    <mergeCell ref="Y2:AB2"/>
    <mergeCell ref="J1:K1"/>
    <mergeCell ref="J2:K2"/>
    <mergeCell ref="L1:P1"/>
    <mergeCell ref="L2:P2"/>
    <mergeCell ref="Q1:S1"/>
    <mergeCell ref="Q2:S2"/>
    <mergeCell ref="D3:E3"/>
    <mergeCell ref="A5:A14"/>
    <mergeCell ref="B5:B14"/>
    <mergeCell ref="A1:G2"/>
    <mergeCell ref="H1:I2"/>
    <mergeCell ref="AE2:AG2"/>
    <mergeCell ref="AH1:AJ1"/>
    <mergeCell ref="AH2:AJ2"/>
    <mergeCell ref="AK1:AM1"/>
    <mergeCell ref="AK2:AM2"/>
    <mergeCell ref="AW1:AY1"/>
    <mergeCell ref="AW2:AY2"/>
    <mergeCell ref="AZ1:BB1"/>
    <mergeCell ref="AZ2:BB2"/>
    <mergeCell ref="AN1:AP1"/>
    <mergeCell ref="AN2:AP2"/>
    <mergeCell ref="AQ1:AS1"/>
    <mergeCell ref="AQ2:AS2"/>
    <mergeCell ref="AT1:AV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BB36"/>
  <sheetViews>
    <sheetView workbookViewId="0">
      <selection activeCell="G4" sqref="G4:G15"/>
    </sheetView>
  </sheetViews>
  <sheetFormatPr defaultRowHeight="15" x14ac:dyDescent="0.25"/>
  <sheetData>
    <row r="1" spans="1:54" ht="15" customHeight="1" x14ac:dyDescent="0.25">
      <c r="A1" s="60" t="s">
        <v>147</v>
      </c>
      <c r="B1" s="63"/>
      <c r="C1" s="63"/>
      <c r="D1" s="63"/>
      <c r="E1" s="63"/>
      <c r="F1" s="63"/>
      <c r="G1" s="63"/>
      <c r="H1" s="60" t="s">
        <v>148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  <c r="AQ1" s="60" t="s">
        <v>111</v>
      </c>
      <c r="AR1" s="61"/>
      <c r="AS1" s="61"/>
      <c r="AT1" s="60"/>
      <c r="AU1" s="61"/>
      <c r="AV1" s="61"/>
      <c r="AW1" s="60" t="s">
        <v>112</v>
      </c>
      <c r="AX1" s="61"/>
      <c r="AY1" s="61"/>
      <c r="AZ1" s="60" t="s">
        <v>113</v>
      </c>
      <c r="BA1" s="61"/>
      <c r="BB1" s="61"/>
    </row>
    <row r="2" spans="1:54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149</v>
      </c>
      <c r="M2" s="66"/>
      <c r="N2" s="66"/>
      <c r="O2" s="66"/>
      <c r="P2" s="66"/>
      <c r="Q2" s="65" t="s">
        <v>150</v>
      </c>
      <c r="R2" s="66"/>
      <c r="S2" s="66"/>
      <c r="T2" s="65" t="s">
        <v>151</v>
      </c>
      <c r="U2" s="66"/>
      <c r="V2" s="66"/>
      <c r="W2" s="65" t="s">
        <v>152</v>
      </c>
      <c r="X2" s="66"/>
      <c r="Y2" s="65" t="s">
        <v>153</v>
      </c>
      <c r="Z2" s="66"/>
      <c r="AA2" s="66"/>
      <c r="AB2" s="66"/>
      <c r="AC2" s="65" t="s">
        <v>154</v>
      </c>
      <c r="AD2" s="66"/>
      <c r="AE2" s="67" t="s">
        <v>155</v>
      </c>
      <c r="AF2" s="66"/>
      <c r="AG2" s="66"/>
      <c r="AH2" s="65"/>
      <c r="AI2" s="66"/>
      <c r="AJ2" s="66"/>
      <c r="AK2" s="67" t="s">
        <v>156</v>
      </c>
      <c r="AL2" s="66"/>
      <c r="AM2" s="66"/>
      <c r="AN2" s="64" t="s">
        <v>157</v>
      </c>
      <c r="AO2" s="63"/>
      <c r="AP2" s="63"/>
      <c r="AQ2" s="64" t="s">
        <v>158</v>
      </c>
      <c r="AR2" s="63"/>
      <c r="AS2" s="63"/>
      <c r="AT2" s="64"/>
      <c r="AU2" s="63"/>
      <c r="AV2" s="63"/>
      <c r="AW2" s="62" t="s">
        <v>159</v>
      </c>
      <c r="AX2" s="63"/>
      <c r="AY2" s="63"/>
      <c r="AZ2" s="64"/>
      <c r="BA2" s="63"/>
      <c r="BB2" s="63"/>
    </row>
    <row r="3" spans="1:54" ht="21" x14ac:dyDescent="0.25">
      <c r="A3" s="41" t="s">
        <v>21</v>
      </c>
      <c r="B3" s="42" t="s">
        <v>22</v>
      </c>
      <c r="C3" s="42" t="s">
        <v>23</v>
      </c>
      <c r="D3" s="68" t="s">
        <v>24</v>
      </c>
      <c r="E3" s="68"/>
      <c r="F3" s="43"/>
      <c r="G3" s="43"/>
      <c r="H3" s="43"/>
      <c r="I3" s="42" t="s">
        <v>25</v>
      </c>
      <c r="J3" s="42">
        <v>1</v>
      </c>
      <c r="K3" s="42">
        <v>2</v>
      </c>
      <c r="L3" s="42">
        <v>3</v>
      </c>
      <c r="M3" s="42">
        <v>4</v>
      </c>
      <c r="N3" s="42">
        <v>5</v>
      </c>
      <c r="O3" s="42">
        <v>6</v>
      </c>
      <c r="P3" s="42">
        <v>7</v>
      </c>
      <c r="Q3" s="42">
        <v>8</v>
      </c>
      <c r="R3" s="42">
        <v>9</v>
      </c>
      <c r="S3" s="42">
        <v>10</v>
      </c>
      <c r="T3" s="42">
        <v>11</v>
      </c>
      <c r="U3" s="42">
        <v>12</v>
      </c>
      <c r="V3" s="42">
        <v>13</v>
      </c>
      <c r="W3" s="42">
        <v>14</v>
      </c>
      <c r="X3" s="42">
        <v>15</v>
      </c>
      <c r="Y3" s="42">
        <v>16</v>
      </c>
      <c r="Z3" s="42">
        <v>17</v>
      </c>
      <c r="AA3" s="42">
        <v>18</v>
      </c>
      <c r="AB3" s="42">
        <v>19</v>
      </c>
      <c r="AC3" s="42">
        <v>20</v>
      </c>
      <c r="AD3" s="42">
        <v>21</v>
      </c>
      <c r="AE3" s="42">
        <v>22</v>
      </c>
      <c r="AF3" s="42">
        <v>23</v>
      </c>
      <c r="AG3" s="42">
        <v>24</v>
      </c>
      <c r="AH3" s="42">
        <v>25</v>
      </c>
      <c r="AI3" s="42">
        <v>26</v>
      </c>
      <c r="AJ3" s="42">
        <v>27</v>
      </c>
      <c r="AK3" s="42">
        <v>28</v>
      </c>
      <c r="AL3" s="42">
        <v>29</v>
      </c>
      <c r="AM3" s="42">
        <v>30</v>
      </c>
      <c r="AN3" s="42">
        <v>31</v>
      </c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</row>
    <row r="4" spans="1:54" ht="21" x14ac:dyDescent="0.25">
      <c r="A4" s="44"/>
      <c r="B4" s="44"/>
      <c r="C4" s="44"/>
      <c r="D4" s="45" t="s">
        <v>26</v>
      </c>
      <c r="E4" s="45" t="s">
        <v>27</v>
      </c>
      <c r="F4" s="44"/>
      <c r="G4" s="59" t="s">
        <v>48</v>
      </c>
      <c r="H4" s="44"/>
      <c r="I4" s="45" t="s">
        <v>28</v>
      </c>
      <c r="J4" s="46" t="s">
        <v>29</v>
      </c>
      <c r="K4" s="46" t="s">
        <v>29</v>
      </c>
      <c r="L4" s="46" t="s">
        <v>29</v>
      </c>
      <c r="M4" s="46" t="s">
        <v>29</v>
      </c>
      <c r="N4" s="46" t="s">
        <v>29</v>
      </c>
      <c r="O4" s="46" t="s">
        <v>29</v>
      </c>
      <c r="P4" s="46" t="s">
        <v>29</v>
      </c>
      <c r="Q4" s="46" t="s">
        <v>29</v>
      </c>
      <c r="R4" s="46" t="s">
        <v>29</v>
      </c>
      <c r="S4" s="46" t="s">
        <v>29</v>
      </c>
      <c r="T4" s="46" t="s">
        <v>29</v>
      </c>
      <c r="U4" s="46" t="s">
        <v>29</v>
      </c>
      <c r="V4" s="46" t="s">
        <v>29</v>
      </c>
      <c r="W4" s="46" t="s">
        <v>29</v>
      </c>
      <c r="X4" s="46" t="s">
        <v>29</v>
      </c>
      <c r="Y4" s="46" t="s">
        <v>29</v>
      </c>
      <c r="Z4" s="46" t="s">
        <v>29</v>
      </c>
      <c r="AA4" s="46" t="s">
        <v>29</v>
      </c>
      <c r="AB4" s="46" t="s">
        <v>29</v>
      </c>
      <c r="AC4" s="46" t="s">
        <v>29</v>
      </c>
      <c r="AD4" s="46" t="s">
        <v>29</v>
      </c>
      <c r="AE4" s="46" t="s">
        <v>29</v>
      </c>
      <c r="AF4" s="46" t="s">
        <v>29</v>
      </c>
      <c r="AG4" s="46" t="s">
        <v>29</v>
      </c>
      <c r="AH4" s="46" t="s">
        <v>29</v>
      </c>
      <c r="AI4" s="46" t="s">
        <v>29</v>
      </c>
      <c r="AJ4" s="46" t="s">
        <v>29</v>
      </c>
      <c r="AK4" s="46" t="s">
        <v>29</v>
      </c>
      <c r="AL4" s="46" t="s">
        <v>29</v>
      </c>
      <c r="AM4" s="46" t="s">
        <v>29</v>
      </c>
      <c r="AN4" s="46" t="s">
        <v>29</v>
      </c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</row>
    <row r="5" spans="1:54" ht="21" customHeight="1" x14ac:dyDescent="0.25">
      <c r="A5" s="69" t="s">
        <v>160</v>
      </c>
      <c r="B5" s="70" t="s">
        <v>31</v>
      </c>
      <c r="C5" s="43"/>
      <c r="D5" s="43"/>
      <c r="E5" s="43"/>
      <c r="F5" s="43"/>
      <c r="G5" s="58">
        <v>10</v>
      </c>
      <c r="H5" s="43"/>
      <c r="I5" s="42" t="s">
        <v>32</v>
      </c>
      <c r="J5" s="47">
        <v>459.54</v>
      </c>
      <c r="K5" s="47">
        <v>443.6</v>
      </c>
      <c r="L5" s="47">
        <v>421.62</v>
      </c>
      <c r="M5" s="47">
        <v>435.67</v>
      </c>
      <c r="N5" s="47">
        <v>413.21</v>
      </c>
      <c r="O5" s="47">
        <v>431.97</v>
      </c>
      <c r="P5" s="47">
        <v>419.12</v>
      </c>
      <c r="Q5" s="47">
        <v>432.31</v>
      </c>
      <c r="R5" s="47">
        <v>416.94</v>
      </c>
      <c r="S5" s="47">
        <v>426.78</v>
      </c>
      <c r="T5" s="47">
        <v>418.58</v>
      </c>
      <c r="U5" s="47">
        <v>426.55</v>
      </c>
      <c r="V5" s="47">
        <v>415.45</v>
      </c>
      <c r="W5" s="47">
        <v>439.6</v>
      </c>
      <c r="X5" s="47">
        <v>423.05</v>
      </c>
      <c r="Y5" s="47">
        <v>427.06</v>
      </c>
      <c r="Z5" s="47">
        <v>429.71</v>
      </c>
      <c r="AA5" s="47">
        <v>441.18</v>
      </c>
      <c r="AB5" s="47">
        <v>432.05</v>
      </c>
      <c r="AC5" s="47">
        <v>435.75</v>
      </c>
      <c r="AD5" s="47">
        <v>420.19</v>
      </c>
      <c r="AE5" s="47">
        <v>425.39</v>
      </c>
      <c r="AF5" s="47">
        <v>428.54</v>
      </c>
      <c r="AG5" s="47">
        <v>412.44</v>
      </c>
      <c r="AH5" s="47">
        <v>429.14</v>
      </c>
      <c r="AI5" s="47">
        <v>414.3</v>
      </c>
      <c r="AJ5" s="47">
        <v>438.89</v>
      </c>
      <c r="AK5" s="43"/>
      <c r="AL5" s="43"/>
      <c r="AM5" s="43"/>
      <c r="AN5" s="43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</row>
    <row r="6" spans="1:54" ht="21" x14ac:dyDescent="0.25">
      <c r="A6" s="69"/>
      <c r="B6" s="70"/>
      <c r="C6" s="43"/>
      <c r="D6" s="43" t="s">
        <v>161</v>
      </c>
      <c r="E6" s="43"/>
      <c r="F6" s="43"/>
      <c r="G6" s="58"/>
      <c r="H6" s="43"/>
      <c r="I6" s="42" t="s">
        <v>34</v>
      </c>
      <c r="J6" s="43">
        <v>459.54</v>
      </c>
      <c r="K6" s="43">
        <v>443.6</v>
      </c>
      <c r="L6" s="43">
        <v>421.62</v>
      </c>
      <c r="M6" s="43">
        <v>435.67</v>
      </c>
      <c r="N6" s="43">
        <v>413.21</v>
      </c>
      <c r="O6" s="43">
        <v>431.97</v>
      </c>
      <c r="P6" s="43">
        <v>419.12</v>
      </c>
      <c r="Q6" s="43">
        <v>432.31</v>
      </c>
      <c r="R6" s="43">
        <v>416.94</v>
      </c>
      <c r="S6" s="43">
        <v>426.78</v>
      </c>
      <c r="T6" s="43">
        <v>418.58</v>
      </c>
      <c r="U6" s="43">
        <v>426.55</v>
      </c>
      <c r="V6" s="43">
        <v>415.45</v>
      </c>
      <c r="W6" s="43">
        <v>439.6</v>
      </c>
      <c r="X6" s="43">
        <v>423.05</v>
      </c>
      <c r="Y6" s="43">
        <v>427.06</v>
      </c>
      <c r="Z6" s="43">
        <v>429.71</v>
      </c>
      <c r="AA6" s="43">
        <v>441.18</v>
      </c>
      <c r="AB6" s="43">
        <v>432.05</v>
      </c>
      <c r="AC6" s="43">
        <v>450.37</v>
      </c>
      <c r="AD6" s="43">
        <v>420.19</v>
      </c>
      <c r="AE6" s="43">
        <v>425.39</v>
      </c>
      <c r="AF6" s="43">
        <v>428.54</v>
      </c>
      <c r="AG6" s="43">
        <v>412.44</v>
      </c>
      <c r="AH6" s="43">
        <v>429.14</v>
      </c>
      <c r="AI6" s="43">
        <v>414.3</v>
      </c>
      <c r="AJ6" s="43">
        <v>438.89</v>
      </c>
      <c r="AK6" s="43"/>
      <c r="AL6" s="43"/>
      <c r="AM6" s="43"/>
      <c r="AN6" s="43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</row>
    <row r="7" spans="1:54" x14ac:dyDescent="0.25">
      <c r="A7" s="69"/>
      <c r="B7" s="70"/>
      <c r="C7" s="43"/>
      <c r="D7" s="43" t="s">
        <v>162</v>
      </c>
      <c r="E7" s="43"/>
      <c r="F7" s="43"/>
      <c r="G7" s="58">
        <v>10</v>
      </c>
      <c r="H7" s="43"/>
      <c r="I7" s="42" t="s">
        <v>36</v>
      </c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x14ac:dyDescent="0.25">
      <c r="A8" s="69"/>
      <c r="B8" s="70"/>
      <c r="C8" s="43"/>
      <c r="D8" s="43"/>
      <c r="E8" s="43"/>
      <c r="F8" s="43"/>
      <c r="G8" s="58"/>
      <c r="H8" s="43"/>
      <c r="I8" s="42" t="s">
        <v>37</v>
      </c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</row>
    <row r="9" spans="1:54" x14ac:dyDescent="0.25">
      <c r="A9" s="69"/>
      <c r="B9" s="70"/>
      <c r="C9" s="43"/>
      <c r="D9" s="43" t="s">
        <v>91</v>
      </c>
      <c r="E9" s="43"/>
      <c r="F9" s="43"/>
      <c r="G9" s="58"/>
      <c r="H9" s="43"/>
      <c r="I9" s="42" t="s">
        <v>38</v>
      </c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</row>
    <row r="10" spans="1:54" x14ac:dyDescent="0.25">
      <c r="A10" s="69"/>
      <c r="B10" s="70"/>
      <c r="C10" s="43"/>
      <c r="D10" s="43" t="s">
        <v>158</v>
      </c>
      <c r="E10" s="43"/>
      <c r="F10" s="43"/>
      <c r="G10" s="58">
        <v>0</v>
      </c>
      <c r="H10" s="43"/>
      <c r="I10" s="42" t="s">
        <v>40</v>
      </c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</row>
    <row r="11" spans="1:54" x14ac:dyDescent="0.25">
      <c r="A11" s="69"/>
      <c r="B11" s="70"/>
      <c r="C11" s="43"/>
      <c r="D11" s="43" t="s">
        <v>163</v>
      </c>
      <c r="E11" s="43"/>
      <c r="F11" s="43"/>
      <c r="G11" s="58"/>
      <c r="H11" s="43"/>
      <c r="I11" s="42" t="s">
        <v>42</v>
      </c>
      <c r="J11" s="43">
        <v>194.51</v>
      </c>
      <c r="K11" s="43">
        <v>184.87</v>
      </c>
      <c r="L11" s="43">
        <v>172.64</v>
      </c>
      <c r="M11" s="43">
        <v>176.91</v>
      </c>
      <c r="N11" s="43">
        <v>173.26</v>
      </c>
      <c r="O11" s="43">
        <v>174.94</v>
      </c>
      <c r="P11" s="43">
        <v>169.29</v>
      </c>
      <c r="Q11" s="43">
        <v>175.36</v>
      </c>
      <c r="R11" s="43">
        <v>171.75</v>
      </c>
      <c r="S11" s="43">
        <v>173.87</v>
      </c>
      <c r="T11" s="43">
        <v>172.39</v>
      </c>
      <c r="U11" s="43">
        <v>171.29</v>
      </c>
      <c r="V11" s="43">
        <v>167.15</v>
      </c>
      <c r="W11" s="43">
        <v>190</v>
      </c>
      <c r="X11" s="43">
        <v>172.25</v>
      </c>
      <c r="Y11" s="43">
        <v>169.55</v>
      </c>
      <c r="Z11" s="43">
        <v>174.38</v>
      </c>
      <c r="AA11" s="43">
        <v>176.47</v>
      </c>
      <c r="AB11" s="43">
        <v>175.92</v>
      </c>
      <c r="AC11" s="43">
        <v>175.55</v>
      </c>
      <c r="AD11" s="43">
        <v>174.06</v>
      </c>
      <c r="AE11" s="43">
        <v>182.58</v>
      </c>
      <c r="AF11" s="43">
        <v>169.81</v>
      </c>
      <c r="AG11" s="43">
        <v>166.6</v>
      </c>
      <c r="AH11" s="43">
        <v>171.34</v>
      </c>
      <c r="AI11" s="43">
        <v>164.1</v>
      </c>
      <c r="AJ11" s="43"/>
      <c r="AK11" s="43"/>
      <c r="AL11" s="43"/>
      <c r="AM11" s="43"/>
      <c r="AN11" s="43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</row>
    <row r="12" spans="1:54" x14ac:dyDescent="0.25">
      <c r="A12" s="69"/>
      <c r="B12" s="70"/>
      <c r="C12" s="43"/>
      <c r="D12" s="43" t="s">
        <v>164</v>
      </c>
      <c r="E12" s="43"/>
      <c r="F12" s="43"/>
      <c r="G12" s="58">
        <v>3</v>
      </c>
      <c r="H12" s="43"/>
      <c r="I12" s="42" t="s">
        <v>44</v>
      </c>
      <c r="J12" s="43">
        <v>174</v>
      </c>
      <c r="K12" s="43">
        <v>167.6</v>
      </c>
      <c r="L12" s="43">
        <v>157.5</v>
      </c>
      <c r="M12" s="43">
        <v>163.5</v>
      </c>
      <c r="N12" s="43">
        <v>153.5</v>
      </c>
      <c r="O12" s="43">
        <v>157.30000000000001</v>
      </c>
      <c r="P12" s="43">
        <v>167</v>
      </c>
      <c r="Q12" s="13">
        <v>167</v>
      </c>
      <c r="R12" s="13">
        <v>167</v>
      </c>
      <c r="S12" s="13">
        <v>167</v>
      </c>
      <c r="T12" s="13">
        <v>167</v>
      </c>
      <c r="U12" s="13">
        <v>167</v>
      </c>
      <c r="V12" s="13">
        <v>167</v>
      </c>
      <c r="W12" s="43">
        <v>161</v>
      </c>
      <c r="X12" s="13">
        <v>161</v>
      </c>
      <c r="Y12" s="13">
        <v>161</v>
      </c>
      <c r="Z12" s="13">
        <v>161</v>
      </c>
      <c r="AA12" s="43">
        <v>161.4</v>
      </c>
      <c r="AB12" s="13">
        <v>161.4</v>
      </c>
      <c r="AC12" s="13">
        <v>161.4</v>
      </c>
      <c r="AD12" s="13">
        <v>161.4</v>
      </c>
      <c r="AE12" s="13">
        <v>161.4</v>
      </c>
      <c r="AF12" s="43">
        <v>159.6</v>
      </c>
      <c r="AG12" s="13">
        <v>159.6</v>
      </c>
      <c r="AH12" s="43">
        <v>162.6</v>
      </c>
      <c r="AI12" s="13">
        <v>162.6</v>
      </c>
      <c r="AJ12" s="13">
        <v>162.6</v>
      </c>
      <c r="AK12" s="43"/>
      <c r="AL12" s="43"/>
      <c r="AM12" s="43"/>
      <c r="AN12" s="43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</row>
    <row r="13" spans="1:54" x14ac:dyDescent="0.25">
      <c r="A13" s="69"/>
      <c r="B13" s="70"/>
      <c r="C13" s="43"/>
      <c r="D13" s="43"/>
      <c r="E13" s="43"/>
      <c r="F13" s="43"/>
      <c r="G13" s="58"/>
      <c r="H13" s="43"/>
      <c r="I13" s="42" t="s">
        <v>45</v>
      </c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</row>
    <row r="14" spans="1:54" x14ac:dyDescent="0.25">
      <c r="A14" s="69"/>
      <c r="B14" s="70"/>
      <c r="C14" s="43"/>
      <c r="D14" s="43"/>
      <c r="E14" s="43"/>
      <c r="F14" s="43"/>
      <c r="G14" s="58"/>
      <c r="H14" s="43"/>
      <c r="I14" s="42" t="s">
        <v>46</v>
      </c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</row>
    <row r="15" spans="1:54" x14ac:dyDescent="0.25">
      <c r="G15">
        <v>6</v>
      </c>
      <c r="I15" s="9" t="s">
        <v>47</v>
      </c>
      <c r="J15">
        <f>IF(OR(J12=0,J5=0), ,J5/J12)</f>
        <v>2.641034482758621</v>
      </c>
      <c r="K15">
        <f t="shared" ref="K15:AN15" si="0">IF(OR(K12=0,K5=0), ,K5/K12)</f>
        <v>2.6467780429594274</v>
      </c>
      <c r="L15">
        <f t="shared" si="0"/>
        <v>2.6769523809523812</v>
      </c>
      <c r="M15">
        <f t="shared" si="0"/>
        <v>2.6646483180428135</v>
      </c>
      <c r="N15">
        <f t="shared" si="0"/>
        <v>2.6919218241042344</v>
      </c>
      <c r="O15">
        <f t="shared" si="0"/>
        <v>2.7461538461538462</v>
      </c>
      <c r="P15">
        <f t="shared" si="0"/>
        <v>2.5097005988023953</v>
      </c>
      <c r="Q15">
        <f t="shared" si="0"/>
        <v>2.5886826347305387</v>
      </c>
      <c r="R15">
        <f t="shared" si="0"/>
        <v>2.4966467065868265</v>
      </c>
      <c r="S15">
        <f t="shared" si="0"/>
        <v>2.5555688622754489</v>
      </c>
      <c r="T15">
        <f t="shared" si="0"/>
        <v>2.5064670658682635</v>
      </c>
      <c r="U15">
        <f t="shared" si="0"/>
        <v>2.5541916167664671</v>
      </c>
      <c r="V15">
        <f t="shared" si="0"/>
        <v>2.4877245508982035</v>
      </c>
      <c r="W15">
        <f t="shared" si="0"/>
        <v>2.7304347826086959</v>
      </c>
      <c r="X15">
        <f t="shared" si="0"/>
        <v>2.6276397515527949</v>
      </c>
      <c r="Y15">
        <f t="shared" si="0"/>
        <v>2.6525465838509317</v>
      </c>
      <c r="Z15">
        <f t="shared" si="0"/>
        <v>2.669006211180124</v>
      </c>
      <c r="AA15">
        <f t="shared" si="0"/>
        <v>2.7334572490706317</v>
      </c>
      <c r="AB15">
        <f t="shared" si="0"/>
        <v>2.6768897149938042</v>
      </c>
      <c r="AC15">
        <f t="shared" si="0"/>
        <v>2.699814126394052</v>
      </c>
      <c r="AD15">
        <f t="shared" si="0"/>
        <v>2.6034076827757122</v>
      </c>
      <c r="AE15">
        <f t="shared" si="0"/>
        <v>2.635625774473358</v>
      </c>
      <c r="AF15">
        <f t="shared" si="0"/>
        <v>2.6850877192982456</v>
      </c>
      <c r="AG15">
        <f t="shared" si="0"/>
        <v>2.5842105263157897</v>
      </c>
      <c r="AH15">
        <f t="shared" si="0"/>
        <v>2.6392373923739236</v>
      </c>
      <c r="AI15">
        <f t="shared" si="0"/>
        <v>2.5479704797047971</v>
      </c>
      <c r="AJ15">
        <f t="shared" si="0"/>
        <v>2.6992004920049202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</row>
    <row r="19" spans="9:43" x14ac:dyDescent="0.25">
      <c r="I19" s="9" t="s">
        <v>52</v>
      </c>
      <c r="J19" s="11"/>
      <c r="K19" s="11" t="s">
        <v>60</v>
      </c>
      <c r="L19" s="11" t="s">
        <v>60</v>
      </c>
      <c r="M19" s="11" t="s">
        <v>212</v>
      </c>
      <c r="N19" s="11" t="s">
        <v>60</v>
      </c>
      <c r="O19" s="11"/>
      <c r="P19" s="11" t="s">
        <v>212</v>
      </c>
      <c r="Q19" s="11"/>
      <c r="R19" s="11"/>
      <c r="S19" s="11"/>
      <c r="T19" s="11"/>
      <c r="U19" s="11"/>
      <c r="V19" s="11"/>
      <c r="W19" s="11" t="s">
        <v>60</v>
      </c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 t="s">
        <v>61</v>
      </c>
      <c r="L20" s="11" t="s">
        <v>61</v>
      </c>
      <c r="M20" s="11" t="s">
        <v>213</v>
      </c>
      <c r="N20" s="11" t="s">
        <v>61</v>
      </c>
      <c r="O20" s="11"/>
      <c r="P20" s="11" t="s">
        <v>213</v>
      </c>
      <c r="Q20" s="11"/>
      <c r="R20" s="11"/>
      <c r="S20" s="11"/>
      <c r="T20" s="11"/>
      <c r="U20" s="11"/>
      <c r="V20" s="11"/>
      <c r="W20" s="11" t="s">
        <v>61</v>
      </c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 t="s">
        <v>62</v>
      </c>
      <c r="M21" s="11" t="s">
        <v>62</v>
      </c>
      <c r="N21" s="11" t="s">
        <v>62</v>
      </c>
      <c r="O21" s="11"/>
      <c r="P21" s="11" t="s">
        <v>62</v>
      </c>
      <c r="Q21" s="11"/>
      <c r="R21" s="11"/>
      <c r="S21" s="11"/>
      <c r="T21" s="11"/>
      <c r="U21" s="11"/>
      <c r="V21" s="11"/>
      <c r="W21" s="11" t="s">
        <v>62</v>
      </c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 t="s">
        <v>62</v>
      </c>
      <c r="M22" s="11" t="s">
        <v>62</v>
      </c>
      <c r="N22" s="11" t="s">
        <v>62</v>
      </c>
      <c r="O22" s="11"/>
      <c r="P22" s="11" t="s">
        <v>62</v>
      </c>
      <c r="Q22" s="11"/>
      <c r="R22" s="11"/>
      <c r="S22" s="11"/>
      <c r="T22" s="11"/>
      <c r="U22" s="11"/>
      <c r="V22" s="11"/>
      <c r="W22" s="11" t="s">
        <v>62</v>
      </c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35">
    <mergeCell ref="T1:V1"/>
    <mergeCell ref="T2:V2"/>
    <mergeCell ref="W1:X1"/>
    <mergeCell ref="W2:X2"/>
    <mergeCell ref="Y1:AB1"/>
    <mergeCell ref="Y2:AB2"/>
    <mergeCell ref="J1:K1"/>
    <mergeCell ref="J2:K2"/>
    <mergeCell ref="L1:P1"/>
    <mergeCell ref="L2:P2"/>
    <mergeCell ref="Q1:S1"/>
    <mergeCell ref="Q2:S2"/>
    <mergeCell ref="D3:E3"/>
    <mergeCell ref="A5:A14"/>
    <mergeCell ref="B5:B14"/>
    <mergeCell ref="A1:G2"/>
    <mergeCell ref="H1:I2"/>
    <mergeCell ref="AC2:AD2"/>
    <mergeCell ref="AE1:AG1"/>
    <mergeCell ref="AE2:AG2"/>
    <mergeCell ref="AH1:AJ1"/>
    <mergeCell ref="AH2:AJ2"/>
    <mergeCell ref="AC1:AD1"/>
    <mergeCell ref="AK2:AM2"/>
    <mergeCell ref="AN1:AP1"/>
    <mergeCell ref="AN2:AP2"/>
    <mergeCell ref="AQ1:AS1"/>
    <mergeCell ref="AQ2:AS2"/>
    <mergeCell ref="AK1:AM1"/>
    <mergeCell ref="AT1:AV1"/>
    <mergeCell ref="AT2:AV2"/>
    <mergeCell ref="AW1:AY1"/>
    <mergeCell ref="AW2:AY2"/>
    <mergeCell ref="AZ1:BB1"/>
    <mergeCell ref="AZ2:BB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E36"/>
  <sheetViews>
    <sheetView topLeftCell="I1" workbookViewId="0">
      <selection activeCell="O12" sqref="O12"/>
    </sheetView>
  </sheetViews>
  <sheetFormatPr defaultRowHeight="15" x14ac:dyDescent="0.25"/>
  <sheetData>
    <row r="1" spans="1:57" ht="15" customHeight="1" x14ac:dyDescent="0.25">
      <c r="A1" s="60" t="s">
        <v>129</v>
      </c>
      <c r="B1" s="63"/>
      <c r="C1" s="63"/>
      <c r="D1" s="63"/>
      <c r="E1" s="63"/>
      <c r="F1" s="63"/>
      <c r="G1" s="63"/>
      <c r="H1" s="60" t="s">
        <v>130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  <c r="AQ1" s="60" t="s">
        <v>111</v>
      </c>
      <c r="AR1" s="61"/>
      <c r="AS1" s="61"/>
      <c r="AT1" s="60"/>
      <c r="AU1" s="61"/>
      <c r="AV1" s="61"/>
      <c r="AW1" s="60" t="s">
        <v>112</v>
      </c>
      <c r="AX1" s="61"/>
      <c r="AY1" s="61"/>
      <c r="AZ1" s="60" t="s">
        <v>113</v>
      </c>
      <c r="BA1" s="61"/>
      <c r="BB1" s="61"/>
      <c r="BC1" s="60"/>
      <c r="BD1" s="61"/>
      <c r="BE1" s="61"/>
    </row>
    <row r="2" spans="1:57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131</v>
      </c>
      <c r="M2" s="66"/>
      <c r="N2" s="66"/>
      <c r="O2" s="66"/>
      <c r="P2" s="66"/>
      <c r="Q2" s="65" t="s">
        <v>132</v>
      </c>
      <c r="R2" s="66"/>
      <c r="S2" s="66"/>
      <c r="T2" s="65" t="s">
        <v>133</v>
      </c>
      <c r="U2" s="66"/>
      <c r="V2" s="66"/>
      <c r="W2" s="65" t="s">
        <v>134</v>
      </c>
      <c r="X2" s="66"/>
      <c r="Y2" s="65" t="s">
        <v>135</v>
      </c>
      <c r="Z2" s="66"/>
      <c r="AA2" s="66"/>
      <c r="AB2" s="66"/>
      <c r="AC2" s="65" t="s">
        <v>136</v>
      </c>
      <c r="AD2" s="66"/>
      <c r="AE2" s="65" t="s">
        <v>137</v>
      </c>
      <c r="AF2" s="66"/>
      <c r="AG2" s="66"/>
      <c r="AH2" s="65"/>
      <c r="AI2" s="66"/>
      <c r="AJ2" s="66"/>
      <c r="AK2" s="67" t="s">
        <v>138</v>
      </c>
      <c r="AL2" s="66"/>
      <c r="AM2" s="66"/>
      <c r="AN2" s="64" t="s">
        <v>139</v>
      </c>
      <c r="AO2" s="63"/>
      <c r="AP2" s="63"/>
      <c r="AQ2" s="64" t="s">
        <v>140</v>
      </c>
      <c r="AR2" s="63"/>
      <c r="AS2" s="63"/>
      <c r="AT2" s="64"/>
      <c r="AU2" s="63"/>
      <c r="AV2" s="63"/>
      <c r="AW2" s="62" t="s">
        <v>141</v>
      </c>
      <c r="AX2" s="63"/>
      <c r="AY2" s="63"/>
      <c r="AZ2" s="64"/>
      <c r="BA2" s="63"/>
      <c r="BB2" s="63"/>
      <c r="BC2" s="64"/>
      <c r="BD2" s="63"/>
      <c r="BE2" s="63"/>
    </row>
    <row r="3" spans="1:57" ht="21" x14ac:dyDescent="0.25">
      <c r="A3" s="33" t="s">
        <v>21</v>
      </c>
      <c r="B3" s="34" t="s">
        <v>22</v>
      </c>
      <c r="C3" s="34" t="s">
        <v>23</v>
      </c>
      <c r="D3" s="68" t="s">
        <v>24</v>
      </c>
      <c r="E3" s="68"/>
      <c r="F3" s="35"/>
      <c r="G3" s="35"/>
      <c r="H3" s="35"/>
      <c r="I3" s="34" t="s">
        <v>25</v>
      </c>
      <c r="J3" s="34">
        <v>1</v>
      </c>
      <c r="K3" s="34">
        <v>2</v>
      </c>
      <c r="L3" s="34">
        <v>3</v>
      </c>
      <c r="M3" s="34">
        <v>4</v>
      </c>
      <c r="N3" s="34">
        <v>5</v>
      </c>
      <c r="O3" s="34">
        <v>6</v>
      </c>
      <c r="P3" s="34">
        <v>7</v>
      </c>
      <c r="Q3" s="34">
        <v>8</v>
      </c>
      <c r="R3" s="34">
        <v>9</v>
      </c>
      <c r="S3" s="34">
        <v>10</v>
      </c>
      <c r="T3" s="34">
        <v>11</v>
      </c>
      <c r="U3" s="34">
        <v>12</v>
      </c>
      <c r="V3" s="34">
        <v>13</v>
      </c>
      <c r="W3" s="34">
        <v>14</v>
      </c>
      <c r="X3" s="34">
        <v>15</v>
      </c>
      <c r="Y3" s="34">
        <v>16</v>
      </c>
      <c r="Z3" s="34">
        <v>17</v>
      </c>
      <c r="AA3" s="34">
        <v>18</v>
      </c>
      <c r="AB3" s="34">
        <v>19</v>
      </c>
      <c r="AC3" s="34">
        <v>20</v>
      </c>
      <c r="AD3" s="34">
        <v>21</v>
      </c>
      <c r="AE3" s="34">
        <v>22</v>
      </c>
      <c r="AF3" s="34">
        <v>23</v>
      </c>
      <c r="AG3" s="34">
        <v>24</v>
      </c>
      <c r="AH3" s="34">
        <v>25</v>
      </c>
      <c r="AI3" s="34">
        <v>26</v>
      </c>
      <c r="AJ3" s="34">
        <v>27</v>
      </c>
      <c r="AK3" s="34">
        <v>28</v>
      </c>
      <c r="AL3" s="34">
        <v>29</v>
      </c>
      <c r="AM3" s="34">
        <v>30</v>
      </c>
      <c r="AN3" s="34">
        <v>31</v>
      </c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</row>
    <row r="4" spans="1:57" ht="21" x14ac:dyDescent="0.25">
      <c r="A4" s="36"/>
      <c r="B4" s="36"/>
      <c r="C4" s="36"/>
      <c r="D4" s="37" t="s">
        <v>26</v>
      </c>
      <c r="E4" s="37" t="s">
        <v>27</v>
      </c>
      <c r="F4" s="36"/>
      <c r="G4" s="59" t="s">
        <v>48</v>
      </c>
      <c r="H4" s="36"/>
      <c r="I4" s="37" t="s">
        <v>28</v>
      </c>
      <c r="J4" s="38" t="s">
        <v>29</v>
      </c>
      <c r="K4" s="38" t="s">
        <v>29</v>
      </c>
      <c r="L4" s="38" t="s">
        <v>29</v>
      </c>
      <c r="M4" s="38" t="s">
        <v>29</v>
      </c>
      <c r="N4" s="38" t="s">
        <v>29</v>
      </c>
      <c r="O4" s="38" t="s">
        <v>29</v>
      </c>
      <c r="P4" s="38" t="s">
        <v>29</v>
      </c>
      <c r="Q4" s="38" t="s">
        <v>29</v>
      </c>
      <c r="R4" s="38" t="s">
        <v>29</v>
      </c>
      <c r="S4" s="38" t="s">
        <v>29</v>
      </c>
      <c r="T4" s="38" t="s">
        <v>29</v>
      </c>
      <c r="U4" s="38" t="s">
        <v>29</v>
      </c>
      <c r="V4" s="38" t="s">
        <v>29</v>
      </c>
      <c r="W4" s="38" t="s">
        <v>29</v>
      </c>
      <c r="X4" s="38" t="s">
        <v>29</v>
      </c>
      <c r="Y4" s="38" t="s">
        <v>29</v>
      </c>
      <c r="Z4" s="38" t="s">
        <v>29</v>
      </c>
      <c r="AA4" s="38" t="s">
        <v>29</v>
      </c>
      <c r="AB4" s="38" t="s">
        <v>29</v>
      </c>
      <c r="AC4" s="38" t="s">
        <v>29</v>
      </c>
      <c r="AD4" s="38" t="s">
        <v>29</v>
      </c>
      <c r="AE4" s="38" t="s">
        <v>29</v>
      </c>
      <c r="AF4" s="38" t="s">
        <v>29</v>
      </c>
      <c r="AG4" s="38" t="s">
        <v>29</v>
      </c>
      <c r="AH4" s="38" t="s">
        <v>29</v>
      </c>
      <c r="AI4" s="38" t="s">
        <v>29</v>
      </c>
      <c r="AJ4" s="38" t="s">
        <v>29</v>
      </c>
      <c r="AK4" s="38" t="s">
        <v>29</v>
      </c>
      <c r="AL4" s="38" t="s">
        <v>29</v>
      </c>
      <c r="AM4" s="38" t="s">
        <v>29</v>
      </c>
      <c r="AN4" s="38" t="s">
        <v>29</v>
      </c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</row>
    <row r="5" spans="1:57" ht="21" customHeight="1" x14ac:dyDescent="0.25">
      <c r="A5" s="69" t="s">
        <v>142</v>
      </c>
      <c r="B5" s="70" t="s">
        <v>31</v>
      </c>
      <c r="C5" s="35"/>
      <c r="D5" s="35"/>
      <c r="E5" s="35"/>
      <c r="F5" s="35"/>
      <c r="G5" s="58">
        <v>10</v>
      </c>
      <c r="H5" s="35"/>
      <c r="I5" s="34" t="s">
        <v>32</v>
      </c>
      <c r="J5" s="39">
        <v>287.24</v>
      </c>
      <c r="K5" s="39">
        <v>284.14999999999998</v>
      </c>
      <c r="L5" s="39">
        <v>280.83999999999997</v>
      </c>
      <c r="M5" s="39">
        <v>280.2</v>
      </c>
      <c r="N5" s="39">
        <v>277.89</v>
      </c>
      <c r="O5" s="39">
        <v>265.68</v>
      </c>
      <c r="P5" s="39">
        <v>260.39999999999998</v>
      </c>
      <c r="Q5" s="39">
        <v>257.43</v>
      </c>
      <c r="R5" s="39">
        <v>254.33</v>
      </c>
      <c r="S5" s="39">
        <v>258.23</v>
      </c>
      <c r="T5" s="39">
        <v>254.53</v>
      </c>
      <c r="U5" s="39">
        <v>250.6</v>
      </c>
      <c r="V5" s="39">
        <v>252.62</v>
      </c>
      <c r="W5" s="39">
        <v>256.52</v>
      </c>
      <c r="X5" s="39">
        <v>256.92</v>
      </c>
      <c r="Y5" s="39">
        <v>256.13</v>
      </c>
      <c r="Z5" s="39">
        <v>249</v>
      </c>
      <c r="AA5" s="39">
        <v>244.8</v>
      </c>
      <c r="AB5" s="39">
        <v>246.61</v>
      </c>
      <c r="AC5" s="39">
        <v>247.81</v>
      </c>
      <c r="AD5" s="39">
        <v>244.16</v>
      </c>
      <c r="AE5" s="39">
        <v>246.22</v>
      </c>
      <c r="AF5" s="39">
        <v>247.4</v>
      </c>
      <c r="AG5" s="39">
        <v>251.62</v>
      </c>
      <c r="AH5" s="39">
        <v>252.81</v>
      </c>
      <c r="AI5" s="39">
        <v>253.11</v>
      </c>
      <c r="AJ5" s="39">
        <v>253.53</v>
      </c>
      <c r="AK5" s="35"/>
      <c r="AL5" s="35"/>
      <c r="AM5" s="35"/>
      <c r="AN5" s="35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</row>
    <row r="6" spans="1:57" ht="21" x14ac:dyDescent="0.25">
      <c r="A6" s="69"/>
      <c r="B6" s="70"/>
      <c r="C6" s="35"/>
      <c r="D6" s="35" t="s">
        <v>143</v>
      </c>
      <c r="E6" s="35"/>
      <c r="F6" s="35"/>
      <c r="G6" s="58"/>
      <c r="H6" s="35"/>
      <c r="I6" s="34" t="s">
        <v>34</v>
      </c>
      <c r="J6" s="35">
        <v>287.24</v>
      </c>
      <c r="K6" s="35">
        <v>284.14999999999998</v>
      </c>
      <c r="L6" s="35">
        <v>280.83999999999997</v>
      </c>
      <c r="M6" s="35">
        <v>280.2</v>
      </c>
      <c r="N6" s="35">
        <v>277.89</v>
      </c>
      <c r="O6" s="35">
        <v>265.68</v>
      </c>
      <c r="P6" s="35">
        <v>260.39999999999998</v>
      </c>
      <c r="Q6" s="35">
        <v>257.43</v>
      </c>
      <c r="R6" s="35">
        <v>254.33</v>
      </c>
      <c r="S6" s="35">
        <v>258.23</v>
      </c>
      <c r="T6" s="35">
        <v>254.53</v>
      </c>
      <c r="U6" s="35">
        <v>250.6</v>
      </c>
      <c r="V6" s="35">
        <v>252.62</v>
      </c>
      <c r="W6" s="35">
        <v>256.52</v>
      </c>
      <c r="X6" s="35">
        <v>256</v>
      </c>
      <c r="Y6" s="35">
        <v>256.13</v>
      </c>
      <c r="Z6" s="35">
        <v>249</v>
      </c>
      <c r="AA6" s="35">
        <v>244.8</v>
      </c>
      <c r="AB6" s="35">
        <v>246.61</v>
      </c>
      <c r="AC6" s="35">
        <v>246.38</v>
      </c>
      <c r="AD6" s="35">
        <v>244.16</v>
      </c>
      <c r="AE6" s="35">
        <v>246.22</v>
      </c>
      <c r="AF6" s="35">
        <v>247.4</v>
      </c>
      <c r="AG6" s="35">
        <v>251.62</v>
      </c>
      <c r="AH6" s="35">
        <v>252.81</v>
      </c>
      <c r="AI6" s="35">
        <v>253.11</v>
      </c>
      <c r="AJ6" s="35">
        <v>253.53</v>
      </c>
      <c r="AK6" s="35"/>
      <c r="AL6" s="35"/>
      <c r="AM6" s="35"/>
      <c r="AN6" s="35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</row>
    <row r="7" spans="1:57" x14ac:dyDescent="0.25">
      <c r="A7" s="69"/>
      <c r="B7" s="70"/>
      <c r="C7" s="35"/>
      <c r="D7" s="35" t="s">
        <v>144</v>
      </c>
      <c r="E7" s="35"/>
      <c r="F7" s="35"/>
      <c r="G7" s="58">
        <v>10</v>
      </c>
      <c r="H7" s="35"/>
      <c r="I7" s="34" t="s">
        <v>36</v>
      </c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>
        <v>178</v>
      </c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</row>
    <row r="8" spans="1:57" x14ac:dyDescent="0.25">
      <c r="A8" s="69"/>
      <c r="B8" s="70"/>
      <c r="C8" s="35"/>
      <c r="D8" s="35"/>
      <c r="E8" s="35"/>
      <c r="F8" s="35"/>
      <c r="G8" s="58"/>
      <c r="H8" s="35"/>
      <c r="I8" s="34" t="s">
        <v>37</v>
      </c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</row>
    <row r="9" spans="1:57" x14ac:dyDescent="0.25">
      <c r="A9" s="69"/>
      <c r="B9" s="70"/>
      <c r="C9" s="35"/>
      <c r="D9" s="35" t="s">
        <v>91</v>
      </c>
      <c r="E9" s="35"/>
      <c r="F9" s="35"/>
      <c r="G9" s="58"/>
      <c r="H9" s="35"/>
      <c r="I9" s="34" t="s">
        <v>38</v>
      </c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</row>
    <row r="10" spans="1:57" x14ac:dyDescent="0.25">
      <c r="A10" s="69"/>
      <c r="B10" s="70"/>
      <c r="C10" s="35"/>
      <c r="D10" s="35" t="s">
        <v>140</v>
      </c>
      <c r="E10" s="35"/>
      <c r="F10" s="35"/>
      <c r="G10" s="58">
        <v>0</v>
      </c>
      <c r="H10" s="35"/>
      <c r="I10" s="34" t="s">
        <v>40</v>
      </c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</row>
    <row r="11" spans="1:57" x14ac:dyDescent="0.25">
      <c r="A11" s="69"/>
      <c r="B11" s="70"/>
      <c r="C11" s="35"/>
      <c r="D11" s="35" t="s">
        <v>145</v>
      </c>
      <c r="E11" s="35"/>
      <c r="F11" s="35"/>
      <c r="G11" s="58"/>
      <c r="H11" s="35"/>
      <c r="I11" s="34" t="s">
        <v>42</v>
      </c>
      <c r="J11" s="35">
        <v>190.25</v>
      </c>
      <c r="K11" s="35">
        <v>189.32</v>
      </c>
      <c r="L11" s="35">
        <v>188.64</v>
      </c>
      <c r="M11" s="35">
        <v>187.75</v>
      </c>
      <c r="N11" s="35">
        <v>187.66</v>
      </c>
      <c r="O11" s="35">
        <v>185.61</v>
      </c>
      <c r="P11" s="35">
        <v>184.93</v>
      </c>
      <c r="Q11" s="35">
        <v>184.16</v>
      </c>
      <c r="R11" s="35">
        <v>183.85</v>
      </c>
      <c r="S11" s="35">
        <v>184.6</v>
      </c>
      <c r="T11" s="35">
        <v>183.5</v>
      </c>
      <c r="U11" s="35">
        <v>183.12</v>
      </c>
      <c r="V11" s="35">
        <v>183.95</v>
      </c>
      <c r="W11" s="35">
        <v>184.78</v>
      </c>
      <c r="X11" s="35">
        <v>185.47</v>
      </c>
      <c r="Y11" s="35">
        <v>185.82</v>
      </c>
      <c r="Z11" s="35">
        <v>185.25</v>
      </c>
      <c r="AA11" s="35">
        <v>185.12</v>
      </c>
      <c r="AB11" s="35">
        <v>185.25</v>
      </c>
      <c r="AC11" s="35">
        <v>185.34</v>
      </c>
      <c r="AD11" s="35">
        <v>184.8</v>
      </c>
      <c r="AE11" s="35">
        <v>185.19</v>
      </c>
      <c r="AF11" s="35">
        <v>185.42</v>
      </c>
      <c r="AG11" s="35">
        <v>186.34</v>
      </c>
      <c r="AH11" s="35">
        <v>186.74</v>
      </c>
      <c r="AI11" s="35">
        <v>186.43</v>
      </c>
      <c r="AJ11" s="35"/>
      <c r="AK11" s="35"/>
      <c r="AL11" s="35"/>
      <c r="AM11" s="35"/>
      <c r="AN11" s="35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</row>
    <row r="12" spans="1:57" x14ac:dyDescent="0.25">
      <c r="A12" s="69"/>
      <c r="B12" s="70"/>
      <c r="C12" s="35"/>
      <c r="D12" s="35" t="s">
        <v>146</v>
      </c>
      <c r="E12" s="35"/>
      <c r="F12" s="35"/>
      <c r="G12" s="58">
        <v>3</v>
      </c>
      <c r="H12" s="35"/>
      <c r="I12" s="34" t="s">
        <v>44</v>
      </c>
      <c r="J12" s="35">
        <v>184.1</v>
      </c>
      <c r="K12" s="35">
        <v>184.6</v>
      </c>
      <c r="L12" s="35">
        <v>182.9</v>
      </c>
      <c r="M12" s="35">
        <v>182.7</v>
      </c>
      <c r="N12" s="35">
        <v>184.7</v>
      </c>
      <c r="O12" s="35">
        <v>177.5</v>
      </c>
      <c r="P12" s="35">
        <v>181</v>
      </c>
      <c r="Q12" s="35">
        <v>179</v>
      </c>
      <c r="R12" s="35">
        <v>178.2</v>
      </c>
      <c r="S12" s="35">
        <v>179.8</v>
      </c>
      <c r="T12" s="35">
        <v>179</v>
      </c>
      <c r="U12" s="13">
        <v>179</v>
      </c>
      <c r="V12" s="35">
        <v>179.3</v>
      </c>
      <c r="W12" s="35">
        <v>180.3</v>
      </c>
      <c r="X12" s="35">
        <v>180.7</v>
      </c>
      <c r="Y12" s="35">
        <v>180.8</v>
      </c>
      <c r="Z12" s="35">
        <v>179.5</v>
      </c>
      <c r="AA12" s="13">
        <v>179.5</v>
      </c>
      <c r="AB12" s="13">
        <v>179.5</v>
      </c>
      <c r="AC12" s="35">
        <v>179.7</v>
      </c>
      <c r="AD12" s="35">
        <v>178.4</v>
      </c>
      <c r="AE12" s="13">
        <v>178.4</v>
      </c>
      <c r="AF12" s="35">
        <v>178.9</v>
      </c>
      <c r="AG12" s="13">
        <v>178.9</v>
      </c>
      <c r="AH12" s="13">
        <v>178.9</v>
      </c>
      <c r="AI12" s="35">
        <v>180.4</v>
      </c>
      <c r="AJ12" s="13">
        <v>180.4</v>
      </c>
      <c r="AK12" s="35"/>
      <c r="AL12" s="35"/>
      <c r="AM12" s="35"/>
      <c r="AN12" s="35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</row>
    <row r="13" spans="1:57" x14ac:dyDescent="0.25">
      <c r="A13" s="69"/>
      <c r="B13" s="70"/>
      <c r="C13" s="35"/>
      <c r="D13" s="35"/>
      <c r="E13" s="35"/>
      <c r="F13" s="35"/>
      <c r="G13" s="58"/>
      <c r="H13" s="35"/>
      <c r="I13" s="34" t="s">
        <v>45</v>
      </c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</row>
    <row r="14" spans="1:57" x14ac:dyDescent="0.25">
      <c r="A14" s="69"/>
      <c r="B14" s="70"/>
      <c r="C14" s="35"/>
      <c r="D14" s="35"/>
      <c r="E14" s="35"/>
      <c r="F14" s="35"/>
      <c r="G14" s="58"/>
      <c r="H14" s="35"/>
      <c r="I14" s="34" t="s">
        <v>46</v>
      </c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</row>
    <row r="15" spans="1:57" x14ac:dyDescent="0.25">
      <c r="G15">
        <v>6</v>
      </c>
      <c r="I15" s="9" t="s">
        <v>47</v>
      </c>
      <c r="J15">
        <f>IF(OR(J12=0,J5=0), ,J5/J12)</f>
        <v>1.5602390005431832</v>
      </c>
      <c r="K15">
        <f t="shared" ref="K15:AN15" si="0">IF(OR(K12=0,K5=0), ,K5/K12)</f>
        <v>1.5392741061755146</v>
      </c>
      <c r="L15">
        <f t="shared" si="0"/>
        <v>1.5354838709677419</v>
      </c>
      <c r="M15">
        <f t="shared" si="0"/>
        <v>1.5336617405582924</v>
      </c>
      <c r="N15">
        <f t="shared" si="0"/>
        <v>1.5045479155387114</v>
      </c>
      <c r="O15">
        <f t="shared" si="0"/>
        <v>1.4967887323943663</v>
      </c>
      <c r="P15">
        <f t="shared" si="0"/>
        <v>1.4386740331491712</v>
      </c>
      <c r="Q15">
        <f t="shared" si="0"/>
        <v>1.4381564245810057</v>
      </c>
      <c r="R15">
        <f t="shared" si="0"/>
        <v>1.427216610549944</v>
      </c>
      <c r="S15">
        <f t="shared" si="0"/>
        <v>1.4362068965517241</v>
      </c>
      <c r="T15">
        <f t="shared" si="0"/>
        <v>1.4219553072625699</v>
      </c>
      <c r="U15">
        <f t="shared" si="0"/>
        <v>1.4</v>
      </c>
      <c r="V15">
        <f t="shared" si="0"/>
        <v>1.4089235917456775</v>
      </c>
      <c r="W15">
        <f t="shared" si="0"/>
        <v>1.4227398779811424</v>
      </c>
      <c r="X15">
        <f t="shared" si="0"/>
        <v>1.4218040951853903</v>
      </c>
      <c r="Y15">
        <f t="shared" si="0"/>
        <v>1.4166482300884955</v>
      </c>
      <c r="Z15">
        <f t="shared" si="0"/>
        <v>1.3871866295264623</v>
      </c>
      <c r="AA15">
        <f t="shared" si="0"/>
        <v>1.3637883008356546</v>
      </c>
      <c r="AB15">
        <f t="shared" si="0"/>
        <v>1.3738718662952647</v>
      </c>
      <c r="AC15">
        <f t="shared" si="0"/>
        <v>1.3790205898720089</v>
      </c>
      <c r="AD15">
        <f t="shared" si="0"/>
        <v>1.3686098654708521</v>
      </c>
      <c r="AE15">
        <f t="shared" si="0"/>
        <v>1.3801569506726457</v>
      </c>
      <c r="AF15">
        <f t="shared" si="0"/>
        <v>1.382895472330911</v>
      </c>
      <c r="AG15">
        <f t="shared" si="0"/>
        <v>1.4064840693124649</v>
      </c>
      <c r="AH15">
        <f t="shared" si="0"/>
        <v>1.4131358300726662</v>
      </c>
      <c r="AI15">
        <f t="shared" si="0"/>
        <v>1.4030487804878049</v>
      </c>
      <c r="AJ15">
        <f t="shared" si="0"/>
        <v>1.4053769401330376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7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</row>
    <row r="19" spans="9:43" x14ac:dyDescent="0.25">
      <c r="I19" s="9" t="s">
        <v>52</v>
      </c>
      <c r="J19" s="11"/>
      <c r="K19" s="11"/>
      <c r="L19" s="11"/>
      <c r="M19" s="11"/>
      <c r="N19" s="11"/>
      <c r="O19" s="11" t="s">
        <v>60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/>
      <c r="M20" s="11"/>
      <c r="N20" s="11"/>
      <c r="O20" s="11" t="s">
        <v>61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37">
    <mergeCell ref="T1:V1"/>
    <mergeCell ref="T2:V2"/>
    <mergeCell ref="W1:X1"/>
    <mergeCell ref="W2:X2"/>
    <mergeCell ref="Y1:AB1"/>
    <mergeCell ref="Y2:AB2"/>
    <mergeCell ref="J1:K1"/>
    <mergeCell ref="J2:K2"/>
    <mergeCell ref="L1:P1"/>
    <mergeCell ref="L2:P2"/>
    <mergeCell ref="Q1:S1"/>
    <mergeCell ref="Q2:S2"/>
    <mergeCell ref="D3:E3"/>
    <mergeCell ref="A5:A14"/>
    <mergeCell ref="B5:B14"/>
    <mergeCell ref="A1:G2"/>
    <mergeCell ref="H1:I2"/>
    <mergeCell ref="AC2:AD2"/>
    <mergeCell ref="AE1:AG1"/>
    <mergeCell ref="AE2:AG2"/>
    <mergeCell ref="AH1:AJ1"/>
    <mergeCell ref="AH2:AJ2"/>
    <mergeCell ref="AC1:AD1"/>
    <mergeCell ref="AK2:AM2"/>
    <mergeCell ref="AN1:AP1"/>
    <mergeCell ref="AN2:AP2"/>
    <mergeCell ref="AQ1:AS1"/>
    <mergeCell ref="AQ2:AS2"/>
    <mergeCell ref="AK1:AM1"/>
    <mergeCell ref="BC1:BE1"/>
    <mergeCell ref="BC2:BE2"/>
    <mergeCell ref="AT1:AV1"/>
    <mergeCell ref="AT2:AV2"/>
    <mergeCell ref="AW1:AY1"/>
    <mergeCell ref="AW2:AY2"/>
    <mergeCell ref="AZ1:BB1"/>
    <mergeCell ref="AZ2:BB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BB36"/>
  <sheetViews>
    <sheetView workbookViewId="0">
      <selection activeCell="G4" sqref="G4:G15"/>
    </sheetView>
  </sheetViews>
  <sheetFormatPr defaultRowHeight="15" x14ac:dyDescent="0.25"/>
  <sheetData>
    <row r="1" spans="1:54" ht="15" customHeight="1" x14ac:dyDescent="0.25">
      <c r="A1" s="60" t="s">
        <v>109</v>
      </c>
      <c r="B1" s="63"/>
      <c r="C1" s="63"/>
      <c r="D1" s="63"/>
      <c r="E1" s="63"/>
      <c r="F1" s="63"/>
      <c r="G1" s="63"/>
      <c r="H1" s="60" t="s">
        <v>110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  <c r="AQ1" s="60" t="s">
        <v>111</v>
      </c>
      <c r="AR1" s="61"/>
      <c r="AS1" s="61"/>
      <c r="AT1" s="60"/>
      <c r="AU1" s="61"/>
      <c r="AV1" s="61"/>
      <c r="AW1" s="60" t="s">
        <v>112</v>
      </c>
      <c r="AX1" s="61"/>
      <c r="AY1" s="61"/>
      <c r="AZ1" s="60" t="s">
        <v>113</v>
      </c>
      <c r="BA1" s="61"/>
      <c r="BB1" s="61"/>
    </row>
    <row r="2" spans="1:54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114</v>
      </c>
      <c r="M2" s="66"/>
      <c r="N2" s="66"/>
      <c r="O2" s="66"/>
      <c r="P2" s="66"/>
      <c r="Q2" s="65" t="s">
        <v>115</v>
      </c>
      <c r="R2" s="66"/>
      <c r="S2" s="66"/>
      <c r="T2" s="65" t="s">
        <v>116</v>
      </c>
      <c r="U2" s="66"/>
      <c r="V2" s="66"/>
      <c r="W2" s="65" t="s">
        <v>117</v>
      </c>
      <c r="X2" s="66"/>
      <c r="Y2" s="65" t="s">
        <v>118</v>
      </c>
      <c r="Z2" s="66"/>
      <c r="AA2" s="66"/>
      <c r="AB2" s="66"/>
      <c r="AC2" s="65" t="s">
        <v>119</v>
      </c>
      <c r="AD2" s="66"/>
      <c r="AE2" s="65" t="s">
        <v>120</v>
      </c>
      <c r="AF2" s="66"/>
      <c r="AG2" s="66"/>
      <c r="AH2" s="65"/>
      <c r="AI2" s="66"/>
      <c r="AJ2" s="66"/>
      <c r="AK2" s="67" t="s">
        <v>121</v>
      </c>
      <c r="AL2" s="66"/>
      <c r="AM2" s="66"/>
      <c r="AN2" s="64" t="s">
        <v>122</v>
      </c>
      <c r="AO2" s="63"/>
      <c r="AP2" s="63"/>
      <c r="AQ2" s="64" t="s">
        <v>39</v>
      </c>
      <c r="AR2" s="63"/>
      <c r="AS2" s="63"/>
      <c r="AT2" s="64"/>
      <c r="AU2" s="63"/>
      <c r="AV2" s="63"/>
      <c r="AW2" s="62" t="s">
        <v>123</v>
      </c>
      <c r="AX2" s="63"/>
      <c r="AY2" s="63"/>
      <c r="AZ2" s="64"/>
      <c r="BA2" s="63"/>
      <c r="BB2" s="63"/>
    </row>
    <row r="3" spans="1:54" ht="21" x14ac:dyDescent="0.25">
      <c r="A3" s="25" t="s">
        <v>21</v>
      </c>
      <c r="B3" s="26" t="s">
        <v>22</v>
      </c>
      <c r="C3" s="26" t="s">
        <v>23</v>
      </c>
      <c r="D3" s="68" t="s">
        <v>24</v>
      </c>
      <c r="E3" s="68"/>
      <c r="F3" s="27"/>
      <c r="G3" s="27"/>
      <c r="H3" s="27"/>
      <c r="I3" s="26" t="s">
        <v>25</v>
      </c>
      <c r="J3" s="26">
        <v>1</v>
      </c>
      <c r="K3" s="26">
        <v>2</v>
      </c>
      <c r="L3" s="26">
        <v>3</v>
      </c>
      <c r="M3" s="26">
        <v>4</v>
      </c>
      <c r="N3" s="26">
        <v>5</v>
      </c>
      <c r="O3" s="26">
        <v>6</v>
      </c>
      <c r="P3" s="26">
        <v>7</v>
      </c>
      <c r="Q3" s="26">
        <v>8</v>
      </c>
      <c r="R3" s="26">
        <v>9</v>
      </c>
      <c r="S3" s="26">
        <v>10</v>
      </c>
      <c r="T3" s="26">
        <v>11</v>
      </c>
      <c r="U3" s="26">
        <v>12</v>
      </c>
      <c r="V3" s="26">
        <v>13</v>
      </c>
      <c r="W3" s="26">
        <v>14</v>
      </c>
      <c r="X3" s="26">
        <v>15</v>
      </c>
      <c r="Y3" s="26">
        <v>16</v>
      </c>
      <c r="Z3" s="26">
        <v>17</v>
      </c>
      <c r="AA3" s="26">
        <v>18</v>
      </c>
      <c r="AB3" s="26">
        <v>19</v>
      </c>
      <c r="AC3" s="26">
        <v>20</v>
      </c>
      <c r="AD3" s="26">
        <v>21</v>
      </c>
      <c r="AE3" s="26">
        <v>22</v>
      </c>
      <c r="AF3" s="26">
        <v>23</v>
      </c>
      <c r="AG3" s="26">
        <v>24</v>
      </c>
      <c r="AH3" s="26">
        <v>25</v>
      </c>
      <c r="AI3" s="26">
        <v>26</v>
      </c>
      <c r="AJ3" s="26">
        <v>27</v>
      </c>
      <c r="AK3" s="26">
        <v>28</v>
      </c>
      <c r="AL3" s="26">
        <v>29</v>
      </c>
      <c r="AM3" s="26">
        <v>30</v>
      </c>
      <c r="AN3" s="26">
        <v>31</v>
      </c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</row>
    <row r="4" spans="1:54" ht="21" x14ac:dyDescent="0.25">
      <c r="A4" s="28"/>
      <c r="B4" s="28"/>
      <c r="C4" s="28"/>
      <c r="D4" s="29" t="s">
        <v>26</v>
      </c>
      <c r="E4" s="29" t="s">
        <v>27</v>
      </c>
      <c r="F4" s="28"/>
      <c r="G4" s="59" t="s">
        <v>48</v>
      </c>
      <c r="H4" s="28"/>
      <c r="I4" s="29" t="s">
        <v>28</v>
      </c>
      <c r="J4" s="30" t="s">
        <v>29</v>
      </c>
      <c r="K4" s="30" t="s">
        <v>29</v>
      </c>
      <c r="L4" s="30" t="s">
        <v>29</v>
      </c>
      <c r="M4" s="30" t="s">
        <v>29</v>
      </c>
      <c r="N4" s="30" t="s">
        <v>29</v>
      </c>
      <c r="O4" s="30" t="s">
        <v>29</v>
      </c>
      <c r="P4" s="30" t="s">
        <v>29</v>
      </c>
      <c r="Q4" s="30" t="s">
        <v>29</v>
      </c>
      <c r="R4" s="30" t="s">
        <v>29</v>
      </c>
      <c r="S4" s="30" t="s">
        <v>29</v>
      </c>
      <c r="T4" s="30" t="s">
        <v>29</v>
      </c>
      <c r="U4" s="30" t="s">
        <v>29</v>
      </c>
      <c r="V4" s="30" t="s">
        <v>29</v>
      </c>
      <c r="W4" s="30" t="s">
        <v>29</v>
      </c>
      <c r="X4" s="30" t="s">
        <v>29</v>
      </c>
      <c r="Y4" s="30" t="s">
        <v>29</v>
      </c>
      <c r="Z4" s="30" t="s">
        <v>29</v>
      </c>
      <c r="AA4" s="30" t="s">
        <v>29</v>
      </c>
      <c r="AB4" s="30" t="s">
        <v>29</v>
      </c>
      <c r="AC4" s="30" t="s">
        <v>29</v>
      </c>
      <c r="AD4" s="30" t="s">
        <v>29</v>
      </c>
      <c r="AE4" s="30" t="s">
        <v>29</v>
      </c>
      <c r="AF4" s="30" t="s">
        <v>29</v>
      </c>
      <c r="AG4" s="30" t="s">
        <v>29</v>
      </c>
      <c r="AH4" s="30" t="s">
        <v>29</v>
      </c>
      <c r="AI4" s="30" t="s">
        <v>29</v>
      </c>
      <c r="AJ4" s="30" t="s">
        <v>29</v>
      </c>
      <c r="AK4" s="30" t="s">
        <v>29</v>
      </c>
      <c r="AL4" s="30" t="s">
        <v>29</v>
      </c>
      <c r="AM4" s="30" t="s">
        <v>29</v>
      </c>
      <c r="AN4" s="30" t="s">
        <v>29</v>
      </c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</row>
    <row r="5" spans="1:54" ht="21" customHeight="1" x14ac:dyDescent="0.25">
      <c r="A5" s="69" t="s">
        <v>124</v>
      </c>
      <c r="B5" s="70" t="s">
        <v>31</v>
      </c>
      <c r="C5" s="27"/>
      <c r="D5" s="27"/>
      <c r="E5" s="27"/>
      <c r="F5" s="27"/>
      <c r="G5" s="58">
        <v>10</v>
      </c>
      <c r="H5" s="27"/>
      <c r="I5" s="26" t="s">
        <v>32</v>
      </c>
      <c r="J5" s="31">
        <v>124.51</v>
      </c>
      <c r="K5" s="31">
        <v>124.3</v>
      </c>
      <c r="L5" s="31">
        <v>121.71</v>
      </c>
      <c r="M5" s="31">
        <v>116.4</v>
      </c>
      <c r="N5" s="31">
        <v>117.79</v>
      </c>
      <c r="O5" s="31">
        <v>120.96</v>
      </c>
      <c r="P5" s="31">
        <v>116.13</v>
      </c>
      <c r="Q5" s="31">
        <v>117.2</v>
      </c>
      <c r="R5" s="31">
        <v>116.5</v>
      </c>
      <c r="S5" s="31">
        <v>117.1</v>
      </c>
      <c r="T5" s="31">
        <v>115.8</v>
      </c>
      <c r="U5" s="31">
        <v>114.7</v>
      </c>
      <c r="V5" s="31">
        <v>118.7</v>
      </c>
      <c r="W5" s="31">
        <v>118.7</v>
      </c>
      <c r="X5" s="31">
        <v>194.5</v>
      </c>
      <c r="Y5" s="31">
        <v>280.93</v>
      </c>
      <c r="Z5" s="31">
        <v>275.68</v>
      </c>
      <c r="AA5" s="31">
        <v>291.79000000000002</v>
      </c>
      <c r="AB5" s="31">
        <v>261.33999999999997</v>
      </c>
      <c r="AC5" s="31">
        <v>242.22</v>
      </c>
      <c r="AD5" s="31">
        <v>252.1</v>
      </c>
      <c r="AE5" s="31">
        <v>250.89</v>
      </c>
      <c r="AF5" s="31">
        <v>267.20999999999998</v>
      </c>
      <c r="AG5" s="31">
        <v>336.68</v>
      </c>
      <c r="AH5" s="31">
        <v>422.42</v>
      </c>
      <c r="AI5" s="31">
        <v>508.2</v>
      </c>
      <c r="AJ5" s="31">
        <v>644.41</v>
      </c>
      <c r="AK5" s="27"/>
      <c r="AL5" s="27"/>
      <c r="AM5" s="27"/>
      <c r="AN5" s="27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</row>
    <row r="6" spans="1:54" ht="21" x14ac:dyDescent="0.25">
      <c r="A6" s="69"/>
      <c r="B6" s="70"/>
      <c r="C6" s="27"/>
      <c r="D6" s="27"/>
      <c r="E6" s="27"/>
      <c r="F6" s="27"/>
      <c r="G6" s="58"/>
      <c r="H6" s="27"/>
      <c r="I6" s="26" t="s">
        <v>34</v>
      </c>
      <c r="J6" s="27">
        <v>124.51</v>
      </c>
      <c r="K6" s="27">
        <v>124.3</v>
      </c>
      <c r="L6" s="27">
        <v>121.71</v>
      </c>
      <c r="M6" s="27">
        <v>116.4</v>
      </c>
      <c r="N6" s="27">
        <v>117.79</v>
      </c>
      <c r="O6" s="27">
        <v>120.96</v>
      </c>
      <c r="P6" s="27">
        <v>116.13</v>
      </c>
      <c r="Q6" s="27">
        <v>117.2</v>
      </c>
      <c r="R6" s="27">
        <v>116.5</v>
      </c>
      <c r="S6" s="27">
        <v>117.1</v>
      </c>
      <c r="T6" s="27">
        <v>115.8</v>
      </c>
      <c r="U6" s="27">
        <v>114.7</v>
      </c>
      <c r="V6" s="27">
        <v>118.7</v>
      </c>
      <c r="W6" s="27">
        <v>118.7</v>
      </c>
      <c r="X6" s="27">
        <v>194.5</v>
      </c>
      <c r="Y6" s="27">
        <v>280.93</v>
      </c>
      <c r="Z6" s="27">
        <v>275.68</v>
      </c>
      <c r="AA6" s="27">
        <v>291.79000000000002</v>
      </c>
      <c r="AB6" s="27">
        <v>261.33999999999997</v>
      </c>
      <c r="AC6" s="27">
        <v>242.22</v>
      </c>
      <c r="AD6" s="27">
        <v>252.1</v>
      </c>
      <c r="AE6" s="27">
        <v>250.89</v>
      </c>
      <c r="AF6" s="27">
        <v>267.20999999999998</v>
      </c>
      <c r="AG6" s="27">
        <v>336.68</v>
      </c>
      <c r="AH6" s="27">
        <v>422.42</v>
      </c>
      <c r="AI6" s="27">
        <v>508.2</v>
      </c>
      <c r="AJ6" s="27">
        <v>644.41</v>
      </c>
      <c r="AK6" s="27"/>
      <c r="AL6" s="27"/>
      <c r="AM6" s="27"/>
      <c r="AN6" s="27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</row>
    <row r="7" spans="1:54" x14ac:dyDescent="0.25">
      <c r="A7" s="69"/>
      <c r="B7" s="70"/>
      <c r="C7" s="27"/>
      <c r="D7" s="27" t="s">
        <v>125</v>
      </c>
      <c r="E7" s="27"/>
      <c r="F7" s="27"/>
      <c r="G7" s="58">
        <v>10</v>
      </c>
      <c r="H7" s="27"/>
      <c r="I7" s="26" t="s">
        <v>36</v>
      </c>
      <c r="J7" s="27"/>
      <c r="K7" s="27"/>
      <c r="L7" s="27">
        <v>117</v>
      </c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>
        <v>116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</row>
    <row r="8" spans="1:54" x14ac:dyDescent="0.25">
      <c r="A8" s="69"/>
      <c r="B8" s="70"/>
      <c r="C8" s="27"/>
      <c r="D8" s="27"/>
      <c r="E8" s="27"/>
      <c r="F8" s="27"/>
      <c r="G8" s="58"/>
      <c r="H8" s="27"/>
      <c r="I8" s="26" t="s">
        <v>37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</row>
    <row r="9" spans="1:54" x14ac:dyDescent="0.25">
      <c r="A9" s="69"/>
      <c r="B9" s="70"/>
      <c r="C9" s="27"/>
      <c r="D9" s="27" t="s">
        <v>91</v>
      </c>
      <c r="E9" s="27"/>
      <c r="F9" s="27"/>
      <c r="G9" s="58"/>
      <c r="H9" s="27"/>
      <c r="I9" s="26" t="s">
        <v>38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/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7">
        <v>0</v>
      </c>
      <c r="AD9" s="27">
        <v>0</v>
      </c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</row>
    <row r="10" spans="1:54" x14ac:dyDescent="0.25">
      <c r="A10" s="69"/>
      <c r="B10" s="70"/>
      <c r="C10" s="27"/>
      <c r="D10" s="27" t="s">
        <v>39</v>
      </c>
      <c r="E10" s="27"/>
      <c r="F10" s="27"/>
      <c r="G10" s="58">
        <v>0</v>
      </c>
      <c r="H10" s="27"/>
      <c r="I10" s="26" t="s">
        <v>40</v>
      </c>
      <c r="J10" s="27"/>
      <c r="K10" s="27"/>
      <c r="L10" s="27">
        <v>2</v>
      </c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>
        <v>2</v>
      </c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</row>
    <row r="11" spans="1:54" x14ac:dyDescent="0.25">
      <c r="A11" s="69"/>
      <c r="B11" s="70"/>
      <c r="C11" s="27"/>
      <c r="D11" s="27" t="s">
        <v>126</v>
      </c>
      <c r="E11" s="27"/>
      <c r="F11" s="27"/>
      <c r="G11" s="58"/>
      <c r="H11" s="27"/>
      <c r="I11" s="26" t="s">
        <v>42</v>
      </c>
      <c r="J11" s="27">
        <v>164.55</v>
      </c>
      <c r="K11" s="27">
        <v>164.08</v>
      </c>
      <c r="L11" s="27">
        <v>162.1</v>
      </c>
      <c r="M11" s="27">
        <v>158.88</v>
      </c>
      <c r="N11" s="27">
        <v>159.36000000000001</v>
      </c>
      <c r="O11" s="27">
        <v>158.80000000000001</v>
      </c>
      <c r="P11" s="27">
        <v>156.24</v>
      </c>
      <c r="Q11" s="27">
        <v>157.15</v>
      </c>
      <c r="R11" s="27">
        <v>156.85</v>
      </c>
      <c r="S11" s="27">
        <v>157.26</v>
      </c>
      <c r="T11" s="27">
        <v>156.29</v>
      </c>
      <c r="U11" s="27">
        <v>156.24</v>
      </c>
      <c r="V11" s="27">
        <v>157.93</v>
      </c>
      <c r="W11" s="27">
        <v>175</v>
      </c>
      <c r="X11" s="27">
        <v>159.41999999999999</v>
      </c>
      <c r="Y11" s="27">
        <v>159.16999999999999</v>
      </c>
      <c r="Z11" s="27">
        <v>157.31</v>
      </c>
      <c r="AA11" s="27">
        <v>155.24</v>
      </c>
      <c r="AB11" s="27">
        <v>152.59</v>
      </c>
      <c r="AC11" s="27">
        <v>151.34</v>
      </c>
      <c r="AD11" s="27">
        <v>151.25</v>
      </c>
      <c r="AE11" s="27">
        <v>151.13</v>
      </c>
      <c r="AF11" s="27">
        <v>150.63</v>
      </c>
      <c r="AG11" s="27">
        <v>150.05000000000001</v>
      </c>
      <c r="AH11" s="27">
        <v>146.97999999999999</v>
      </c>
      <c r="AI11" s="27">
        <v>144.88999999999999</v>
      </c>
      <c r="AJ11" s="27"/>
      <c r="AK11" s="27"/>
      <c r="AL11" s="27"/>
      <c r="AM11" s="27"/>
      <c r="AN11" s="27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</row>
    <row r="12" spans="1:54" x14ac:dyDescent="0.25">
      <c r="A12" s="69"/>
      <c r="B12" s="70"/>
      <c r="C12" s="27"/>
      <c r="D12" s="27" t="s">
        <v>127</v>
      </c>
      <c r="E12" s="27"/>
      <c r="F12" s="27"/>
      <c r="G12" s="58">
        <v>3</v>
      </c>
      <c r="H12" s="27"/>
      <c r="I12" s="26" t="s">
        <v>44</v>
      </c>
      <c r="J12" s="27">
        <v>152.69999999999999</v>
      </c>
      <c r="K12" s="27">
        <v>153.69999999999999</v>
      </c>
      <c r="L12" s="27">
        <v>151.6</v>
      </c>
      <c r="M12" s="27">
        <v>148.19999999999999</v>
      </c>
      <c r="N12" s="27">
        <v>150.5</v>
      </c>
      <c r="O12" s="27">
        <v>154.62</v>
      </c>
      <c r="P12" s="27">
        <v>150</v>
      </c>
      <c r="Q12" s="27">
        <v>148.5</v>
      </c>
      <c r="R12" s="27">
        <v>148.1</v>
      </c>
      <c r="S12" s="27">
        <v>149.30000000000001</v>
      </c>
      <c r="T12" s="27">
        <v>148.5</v>
      </c>
      <c r="U12" s="13">
        <v>148.5</v>
      </c>
      <c r="V12" s="27">
        <v>150</v>
      </c>
      <c r="W12" s="27">
        <v>150</v>
      </c>
      <c r="X12" s="27">
        <v>150.9</v>
      </c>
      <c r="Y12" s="27">
        <v>150.1</v>
      </c>
      <c r="Z12" s="27">
        <v>146.9</v>
      </c>
      <c r="AA12" s="27">
        <v>144.6</v>
      </c>
      <c r="AB12" s="27">
        <v>142.80000000000001</v>
      </c>
      <c r="AC12" s="27">
        <v>143.5</v>
      </c>
      <c r="AD12" s="27">
        <v>141.6</v>
      </c>
      <c r="AE12" s="13">
        <v>141.6</v>
      </c>
      <c r="AF12" s="13">
        <v>141.6</v>
      </c>
      <c r="AG12" s="13">
        <v>141.6</v>
      </c>
      <c r="AH12" s="13">
        <v>141.6</v>
      </c>
      <c r="AI12" s="13">
        <v>141.6</v>
      </c>
      <c r="AJ12" s="13">
        <v>141.6</v>
      </c>
      <c r="AK12" s="27"/>
      <c r="AL12" s="27"/>
      <c r="AM12" s="27"/>
      <c r="AN12" s="27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</row>
    <row r="13" spans="1:54" x14ac:dyDescent="0.25">
      <c r="A13" s="69"/>
      <c r="B13" s="70"/>
      <c r="C13" s="27"/>
      <c r="D13" s="27"/>
      <c r="E13" s="27"/>
      <c r="F13" s="27"/>
      <c r="G13" s="58"/>
      <c r="H13" s="27"/>
      <c r="I13" s="26" t="s">
        <v>45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</row>
    <row r="14" spans="1:54" ht="52.5" x14ac:dyDescent="0.25">
      <c r="A14" s="69"/>
      <c r="B14" s="70"/>
      <c r="C14" s="27"/>
      <c r="D14" s="27"/>
      <c r="E14" s="27"/>
      <c r="F14" s="27"/>
      <c r="G14" s="58"/>
      <c r="H14" s="27"/>
      <c r="I14" s="26" t="s">
        <v>46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 t="s">
        <v>128</v>
      </c>
      <c r="AF14" s="27"/>
      <c r="AG14" s="27"/>
      <c r="AH14" s="27"/>
      <c r="AI14" s="27"/>
      <c r="AJ14" s="27"/>
      <c r="AK14" s="27"/>
      <c r="AL14" s="27"/>
      <c r="AM14" s="27"/>
      <c r="AN14" s="27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</row>
    <row r="15" spans="1:54" x14ac:dyDescent="0.25">
      <c r="G15">
        <v>6</v>
      </c>
      <c r="I15" s="9" t="s">
        <v>47</v>
      </c>
      <c r="J15">
        <f>IF(OR(J12=0,J5=0), ,J5/J12)</f>
        <v>0.81538965291421095</v>
      </c>
      <c r="K15">
        <f t="shared" ref="K15:AN15" si="0">IF(OR(K12=0,K5=0), ,K5/K12)</f>
        <v>0.80871828236824983</v>
      </c>
      <c r="L15">
        <f t="shared" si="0"/>
        <v>0.8028364116094987</v>
      </c>
      <c r="M15">
        <f t="shared" si="0"/>
        <v>0.78542510121457498</v>
      </c>
      <c r="N15">
        <f t="shared" si="0"/>
        <v>0.78265780730897017</v>
      </c>
      <c r="O15">
        <f t="shared" si="0"/>
        <v>0.78230500582072171</v>
      </c>
      <c r="P15">
        <f t="shared" si="0"/>
        <v>0.7742</v>
      </c>
      <c r="Q15">
        <f t="shared" si="0"/>
        <v>0.78922558922558927</v>
      </c>
      <c r="R15">
        <f t="shared" si="0"/>
        <v>0.786630654962863</v>
      </c>
      <c r="S15">
        <f t="shared" si="0"/>
        <v>0.78432685867381102</v>
      </c>
      <c r="T15">
        <f t="shared" si="0"/>
        <v>0.77979797979797982</v>
      </c>
      <c r="U15">
        <f t="shared" si="0"/>
        <v>0.77239057239057241</v>
      </c>
      <c r="V15">
        <f t="shared" si="0"/>
        <v>0.79133333333333333</v>
      </c>
      <c r="W15">
        <f t="shared" si="0"/>
        <v>0.79133333333333333</v>
      </c>
      <c r="X15">
        <f t="shared" si="0"/>
        <v>1.2889330682571238</v>
      </c>
      <c r="Y15">
        <f t="shared" si="0"/>
        <v>1.8716189207195204</v>
      </c>
      <c r="Z15">
        <f t="shared" si="0"/>
        <v>1.876650782845473</v>
      </c>
      <c r="AA15">
        <f t="shared" si="0"/>
        <v>2.0179114799446753</v>
      </c>
      <c r="AB15">
        <f t="shared" si="0"/>
        <v>1.8301120448179269</v>
      </c>
      <c r="AC15">
        <f t="shared" si="0"/>
        <v>1.68794425087108</v>
      </c>
      <c r="AD15">
        <f t="shared" si="0"/>
        <v>1.780367231638418</v>
      </c>
      <c r="AE15">
        <f t="shared" si="0"/>
        <v>1.7718220338983051</v>
      </c>
      <c r="AF15">
        <f t="shared" si="0"/>
        <v>1.8870762711864406</v>
      </c>
      <c r="AG15">
        <f t="shared" si="0"/>
        <v>2.3776836158192092</v>
      </c>
      <c r="AH15">
        <f t="shared" si="0"/>
        <v>2.9831920903954803</v>
      </c>
      <c r="AI15">
        <f t="shared" si="0"/>
        <v>3.5889830508474576</v>
      </c>
      <c r="AJ15">
        <f t="shared" si="0"/>
        <v>4.5509180790960455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</row>
    <row r="19" spans="9:43" x14ac:dyDescent="0.25">
      <c r="I19" s="9" t="s">
        <v>52</v>
      </c>
      <c r="J19" s="11"/>
      <c r="K19" s="11"/>
      <c r="L19" s="11"/>
      <c r="M19" s="11"/>
      <c r="N19" s="11"/>
      <c r="O19" s="11"/>
      <c r="P19" s="11"/>
      <c r="Q19" s="11"/>
      <c r="R19" s="11" t="s">
        <v>60</v>
      </c>
      <c r="S19" s="11"/>
      <c r="T19" s="11"/>
      <c r="U19" s="11"/>
      <c r="V19" s="11"/>
      <c r="W19" s="11"/>
      <c r="X19" s="11" t="s">
        <v>62</v>
      </c>
      <c r="Y19" s="11" t="s">
        <v>62</v>
      </c>
      <c r="Z19" s="11"/>
      <c r="AA19" s="11" t="s">
        <v>60</v>
      </c>
      <c r="AB19" s="11" t="s">
        <v>210</v>
      </c>
      <c r="AC19" s="11"/>
      <c r="AD19" s="11"/>
      <c r="AE19" s="11"/>
      <c r="AF19" s="11"/>
      <c r="AG19" s="11" t="s">
        <v>62</v>
      </c>
      <c r="AH19" s="11" t="s">
        <v>62</v>
      </c>
      <c r="AI19" s="11" t="s">
        <v>62</v>
      </c>
      <c r="AJ19" s="11" t="s">
        <v>62</v>
      </c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/>
      <c r="M20" s="11"/>
      <c r="N20" s="11"/>
      <c r="O20" s="11"/>
      <c r="P20" s="11"/>
      <c r="Q20" s="11"/>
      <c r="R20" s="11" t="s">
        <v>61</v>
      </c>
      <c r="S20" s="11"/>
      <c r="T20" s="11"/>
      <c r="U20" s="11"/>
      <c r="V20" s="11"/>
      <c r="W20" s="11"/>
      <c r="X20" s="11" t="s">
        <v>62</v>
      </c>
      <c r="Y20" s="11" t="s">
        <v>62</v>
      </c>
      <c r="Z20" s="11"/>
      <c r="AA20" s="11" t="s">
        <v>61</v>
      </c>
      <c r="AB20" s="11" t="s">
        <v>211</v>
      </c>
      <c r="AC20" s="11"/>
      <c r="AD20" s="11"/>
      <c r="AE20" s="11"/>
      <c r="AF20" s="11"/>
      <c r="AG20" s="11" t="s">
        <v>62</v>
      </c>
      <c r="AH20" s="11" t="s">
        <v>62</v>
      </c>
      <c r="AI20" s="11" t="s">
        <v>62</v>
      </c>
      <c r="AJ20" s="11" t="s">
        <v>62</v>
      </c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62</v>
      </c>
      <c r="Y21" s="11" t="s">
        <v>62</v>
      </c>
      <c r="Z21" s="11"/>
      <c r="AA21" s="11" t="s">
        <v>62</v>
      </c>
      <c r="AB21" s="11" t="s">
        <v>62</v>
      </c>
      <c r="AC21" s="11"/>
      <c r="AD21" s="11"/>
      <c r="AE21" s="11"/>
      <c r="AF21" s="11"/>
      <c r="AG21" s="11" t="s">
        <v>62</v>
      </c>
      <c r="AH21" s="11" t="s">
        <v>62</v>
      </c>
      <c r="AI21" s="11" t="s">
        <v>62</v>
      </c>
      <c r="AJ21" s="11" t="s">
        <v>62</v>
      </c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 t="s">
        <v>62</v>
      </c>
      <c r="Y22" s="11" t="s">
        <v>62</v>
      </c>
      <c r="Z22" s="11"/>
      <c r="AA22" s="11" t="s">
        <v>62</v>
      </c>
      <c r="AB22" s="11" t="s">
        <v>62</v>
      </c>
      <c r="AC22" s="11"/>
      <c r="AD22" s="11"/>
      <c r="AE22" s="11"/>
      <c r="AF22" s="11"/>
      <c r="AG22" s="11" t="s">
        <v>62</v>
      </c>
      <c r="AH22" s="11" t="s">
        <v>62</v>
      </c>
      <c r="AI22" s="11" t="s">
        <v>62</v>
      </c>
      <c r="AJ22" s="11" t="s">
        <v>62</v>
      </c>
      <c r="AK22" s="11"/>
      <c r="AL22" s="11"/>
      <c r="AM22" s="11"/>
      <c r="AN22" s="11"/>
      <c r="AO22" s="10"/>
      <c r="AP22" s="10"/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35">
    <mergeCell ref="T1:V1"/>
    <mergeCell ref="T2:V2"/>
    <mergeCell ref="W1:X1"/>
    <mergeCell ref="W2:X2"/>
    <mergeCell ref="Y1:AB1"/>
    <mergeCell ref="Y2:AB2"/>
    <mergeCell ref="J1:K1"/>
    <mergeCell ref="J2:K2"/>
    <mergeCell ref="L1:P1"/>
    <mergeCell ref="L2:P2"/>
    <mergeCell ref="Q1:S1"/>
    <mergeCell ref="Q2:S2"/>
    <mergeCell ref="D3:E3"/>
    <mergeCell ref="A5:A14"/>
    <mergeCell ref="B5:B14"/>
    <mergeCell ref="A1:G2"/>
    <mergeCell ref="H1:I2"/>
    <mergeCell ref="AC2:AD2"/>
    <mergeCell ref="AE1:AG1"/>
    <mergeCell ref="AE2:AG2"/>
    <mergeCell ref="AH1:AJ1"/>
    <mergeCell ref="AH2:AJ2"/>
    <mergeCell ref="AC1:AD1"/>
    <mergeCell ref="AK2:AM2"/>
    <mergeCell ref="AN1:AP1"/>
    <mergeCell ref="AN2:AP2"/>
    <mergeCell ref="AQ1:AS1"/>
    <mergeCell ref="AQ2:AS2"/>
    <mergeCell ref="AK1:AM1"/>
    <mergeCell ref="AT1:AV1"/>
    <mergeCell ref="AT2:AV2"/>
    <mergeCell ref="AW1:AY1"/>
    <mergeCell ref="AW2:AY2"/>
    <mergeCell ref="AZ1:BB1"/>
    <mergeCell ref="AZ2:BB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Q36"/>
  <sheetViews>
    <sheetView workbookViewId="0">
      <selection activeCell="G4" sqref="G4:G15"/>
    </sheetView>
  </sheetViews>
  <sheetFormatPr defaultRowHeight="15" x14ac:dyDescent="0.25"/>
  <sheetData>
    <row r="1" spans="1:42" ht="15" customHeight="1" x14ac:dyDescent="0.25">
      <c r="A1" s="60" t="s">
        <v>94</v>
      </c>
      <c r="B1" s="63"/>
      <c r="C1" s="63"/>
      <c r="D1" s="63"/>
      <c r="E1" s="63"/>
      <c r="F1" s="63"/>
      <c r="G1" s="63"/>
      <c r="H1" s="60" t="s">
        <v>95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</row>
    <row r="2" spans="1:42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96</v>
      </c>
      <c r="M2" s="66"/>
      <c r="N2" s="66"/>
      <c r="O2" s="66"/>
      <c r="P2" s="66"/>
      <c r="Q2" s="65" t="s">
        <v>97</v>
      </c>
      <c r="R2" s="66"/>
      <c r="S2" s="66"/>
      <c r="T2" s="65" t="s">
        <v>98</v>
      </c>
      <c r="U2" s="66"/>
      <c r="V2" s="66"/>
      <c r="W2" s="65" t="s">
        <v>68</v>
      </c>
      <c r="X2" s="66"/>
      <c r="Y2" s="65" t="s">
        <v>99</v>
      </c>
      <c r="Z2" s="66"/>
      <c r="AA2" s="66"/>
      <c r="AB2" s="66"/>
      <c r="AC2" s="65" t="s">
        <v>100</v>
      </c>
      <c r="AD2" s="66"/>
      <c r="AE2" s="65" t="s">
        <v>101</v>
      </c>
      <c r="AF2" s="66"/>
      <c r="AG2" s="66"/>
      <c r="AH2" s="65"/>
      <c r="AI2" s="66"/>
      <c r="AJ2" s="66"/>
      <c r="AK2" s="67" t="s">
        <v>102</v>
      </c>
      <c r="AL2" s="66"/>
      <c r="AM2" s="66"/>
      <c r="AN2" s="64" t="s">
        <v>103</v>
      </c>
      <c r="AO2" s="63"/>
      <c r="AP2" s="63"/>
    </row>
    <row r="3" spans="1:42" ht="21" x14ac:dyDescent="0.25">
      <c r="A3" s="17" t="s">
        <v>21</v>
      </c>
      <c r="B3" s="18" t="s">
        <v>22</v>
      </c>
      <c r="C3" s="18" t="s">
        <v>23</v>
      </c>
      <c r="D3" s="68" t="s">
        <v>24</v>
      </c>
      <c r="E3" s="68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42" ht="21" x14ac:dyDescent="0.25">
      <c r="A4" s="20"/>
      <c r="B4" s="20"/>
      <c r="C4" s="20"/>
      <c r="D4" s="21" t="s">
        <v>26</v>
      </c>
      <c r="E4" s="21" t="s">
        <v>27</v>
      </c>
      <c r="F4" s="20"/>
      <c r="G4" s="59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42" ht="21" customHeight="1" x14ac:dyDescent="0.25">
      <c r="A5" s="69" t="s">
        <v>104</v>
      </c>
      <c r="B5" s="70" t="s">
        <v>31</v>
      </c>
      <c r="C5" s="19"/>
      <c r="D5" s="19"/>
      <c r="E5" s="19"/>
      <c r="F5" s="19"/>
      <c r="G5" s="58">
        <v>10</v>
      </c>
      <c r="H5" s="19"/>
      <c r="I5" s="18" t="s">
        <v>32</v>
      </c>
      <c r="J5" s="23">
        <v>308.95999999999998</v>
      </c>
      <c r="K5" s="23">
        <v>308.36</v>
      </c>
      <c r="L5" s="23">
        <v>307.87</v>
      </c>
      <c r="M5" s="23">
        <v>307.56</v>
      </c>
      <c r="N5" s="23">
        <v>303.5</v>
      </c>
      <c r="O5" s="23">
        <v>303.83999999999997</v>
      </c>
      <c r="P5" s="23">
        <v>303.73</v>
      </c>
      <c r="Q5" s="23">
        <v>303.77</v>
      </c>
      <c r="R5" s="23">
        <v>303.06</v>
      </c>
      <c r="S5" s="23">
        <v>304.06</v>
      </c>
      <c r="T5" s="23">
        <v>306.56</v>
      </c>
      <c r="U5" s="23">
        <v>311.87</v>
      </c>
      <c r="V5" s="23">
        <v>312.37</v>
      </c>
      <c r="W5" s="23">
        <v>311.87</v>
      </c>
      <c r="X5" s="23">
        <v>310.95999999999998</v>
      </c>
      <c r="Y5" s="23">
        <v>307.17</v>
      </c>
      <c r="Z5" s="23">
        <v>304.62</v>
      </c>
      <c r="AA5" s="23">
        <v>305.02</v>
      </c>
      <c r="AB5" s="23">
        <v>304.36</v>
      </c>
      <c r="AC5" s="23">
        <v>303.86</v>
      </c>
      <c r="AD5" s="23">
        <v>303.77999999999997</v>
      </c>
      <c r="AE5" s="23">
        <v>302.64999999999998</v>
      </c>
      <c r="AF5" s="23">
        <v>299.81</v>
      </c>
      <c r="AG5" s="23">
        <v>299.10000000000002</v>
      </c>
      <c r="AH5" s="23">
        <v>297.81</v>
      </c>
      <c r="AI5" s="23">
        <v>296.86</v>
      </c>
      <c r="AJ5" s="23">
        <v>296.48</v>
      </c>
      <c r="AK5" s="19"/>
      <c r="AL5" s="19"/>
      <c r="AM5" s="19"/>
      <c r="AN5" s="19"/>
      <c r="AO5" s="16"/>
      <c r="AP5" s="16"/>
    </row>
    <row r="6" spans="1:42" ht="21" x14ac:dyDescent="0.25">
      <c r="A6" s="69"/>
      <c r="B6" s="70"/>
      <c r="C6" s="19"/>
      <c r="D6" s="19"/>
      <c r="E6" s="19"/>
      <c r="F6" s="19"/>
      <c r="G6" s="58"/>
      <c r="H6" s="19"/>
      <c r="I6" s="18" t="s">
        <v>34</v>
      </c>
      <c r="J6" s="19">
        <v>308.95999999999998</v>
      </c>
      <c r="K6" s="19">
        <v>308.36</v>
      </c>
      <c r="L6" s="19">
        <v>307.87</v>
      </c>
      <c r="M6" s="19">
        <v>307.56</v>
      </c>
      <c r="N6" s="19">
        <v>303.5</v>
      </c>
      <c r="O6" s="19">
        <v>303.83999999999997</v>
      </c>
      <c r="P6" s="19">
        <v>303.73</v>
      </c>
      <c r="Q6" s="19">
        <v>303.77</v>
      </c>
      <c r="R6" s="19">
        <v>303.06</v>
      </c>
      <c r="S6" s="19">
        <v>304.06</v>
      </c>
      <c r="T6" s="19">
        <v>306.56</v>
      </c>
      <c r="U6" s="19">
        <v>311.87</v>
      </c>
      <c r="V6" s="19">
        <v>312.37</v>
      </c>
      <c r="W6" s="19">
        <v>311.87</v>
      </c>
      <c r="X6" s="19">
        <v>310.95999999999998</v>
      </c>
      <c r="Y6" s="19">
        <v>307.17</v>
      </c>
      <c r="Z6" s="19">
        <v>304.62</v>
      </c>
      <c r="AA6" s="19">
        <v>305.02</v>
      </c>
      <c r="AB6" s="19">
        <v>304.36</v>
      </c>
      <c r="AC6" s="19">
        <v>304.08999999999997</v>
      </c>
      <c r="AD6" s="19">
        <v>303.77999999999997</v>
      </c>
      <c r="AE6" s="19">
        <v>302.64999999999998</v>
      </c>
      <c r="AF6" s="19">
        <v>299.81</v>
      </c>
      <c r="AG6" s="19">
        <v>299.10000000000002</v>
      </c>
      <c r="AH6" s="19">
        <v>297.81</v>
      </c>
      <c r="AI6" s="19">
        <v>296.86</v>
      </c>
      <c r="AJ6" s="19">
        <v>296.48</v>
      </c>
      <c r="AK6" s="19"/>
      <c r="AL6" s="19"/>
      <c r="AM6" s="19"/>
      <c r="AN6" s="19"/>
      <c r="AO6" s="16"/>
      <c r="AP6" s="16"/>
    </row>
    <row r="7" spans="1:42" x14ac:dyDescent="0.25">
      <c r="A7" s="69"/>
      <c r="B7" s="70"/>
      <c r="C7" s="19"/>
      <c r="D7" s="19" t="s">
        <v>105</v>
      </c>
      <c r="E7" s="19"/>
      <c r="F7" s="19"/>
      <c r="G7" s="58">
        <v>10</v>
      </c>
      <c r="H7" s="19"/>
      <c r="I7" s="18" t="s">
        <v>36</v>
      </c>
      <c r="J7" s="19"/>
      <c r="K7" s="19"/>
      <c r="L7" s="19">
        <v>140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>
        <v>142</v>
      </c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6"/>
      <c r="AP7" s="16"/>
    </row>
    <row r="8" spans="1:42" x14ac:dyDescent="0.25">
      <c r="A8" s="69"/>
      <c r="B8" s="70"/>
      <c r="C8" s="19"/>
      <c r="D8" s="19"/>
      <c r="E8" s="19"/>
      <c r="F8" s="19"/>
      <c r="G8" s="58"/>
      <c r="H8" s="19"/>
      <c r="I8" s="18" t="s">
        <v>37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6"/>
      <c r="AP8" s="16"/>
    </row>
    <row r="9" spans="1:42" x14ac:dyDescent="0.25">
      <c r="A9" s="69"/>
      <c r="B9" s="70"/>
      <c r="C9" s="19"/>
      <c r="D9" s="19" t="s">
        <v>106</v>
      </c>
      <c r="E9" s="19"/>
      <c r="F9" s="19"/>
      <c r="G9" s="58"/>
      <c r="H9" s="19"/>
      <c r="I9" s="18" t="s">
        <v>38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6"/>
      <c r="AP9" s="16"/>
    </row>
    <row r="10" spans="1:42" x14ac:dyDescent="0.25">
      <c r="A10" s="69"/>
      <c r="B10" s="70"/>
      <c r="C10" s="19"/>
      <c r="D10" s="19" t="s">
        <v>107</v>
      </c>
      <c r="E10" s="19"/>
      <c r="F10" s="19"/>
      <c r="G10" s="58">
        <v>0</v>
      </c>
      <c r="H10" s="19"/>
      <c r="I10" s="18" t="s">
        <v>40</v>
      </c>
      <c r="J10" s="19"/>
      <c r="K10" s="19"/>
      <c r="L10" s="19">
        <v>5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>
        <v>5</v>
      </c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6"/>
      <c r="AP10" s="16"/>
    </row>
    <row r="11" spans="1:42" x14ac:dyDescent="0.25">
      <c r="A11" s="69"/>
      <c r="B11" s="70"/>
      <c r="C11" s="19"/>
      <c r="D11" s="19" t="s">
        <v>41</v>
      </c>
      <c r="E11" s="19"/>
      <c r="F11" s="19"/>
      <c r="G11" s="58"/>
      <c r="H11" s="19"/>
      <c r="I11" s="18" t="s">
        <v>42</v>
      </c>
      <c r="J11" s="19">
        <v>180.85</v>
      </c>
      <c r="K11" s="19">
        <v>180.71</v>
      </c>
      <c r="L11" s="19">
        <v>180.89</v>
      </c>
      <c r="M11" s="19">
        <v>180.99</v>
      </c>
      <c r="N11" s="19">
        <v>180.56</v>
      </c>
      <c r="O11" s="19">
        <v>180.89</v>
      </c>
      <c r="P11" s="19">
        <v>181.2</v>
      </c>
      <c r="Q11" s="19">
        <v>181.21</v>
      </c>
      <c r="R11" s="19">
        <v>180.72</v>
      </c>
      <c r="S11" s="19">
        <v>181.09</v>
      </c>
      <c r="T11" s="19">
        <v>181.17</v>
      </c>
      <c r="U11" s="19">
        <v>181.73</v>
      </c>
      <c r="V11" s="19">
        <v>182.07</v>
      </c>
      <c r="W11" s="19">
        <v>190</v>
      </c>
      <c r="X11" s="19">
        <v>180.76</v>
      </c>
      <c r="Y11" s="19">
        <v>179.07</v>
      </c>
      <c r="Z11" s="19">
        <v>178.48</v>
      </c>
      <c r="AA11" s="19">
        <v>178.23</v>
      </c>
      <c r="AB11" s="19">
        <v>177.85</v>
      </c>
      <c r="AC11" s="19">
        <v>177.7</v>
      </c>
      <c r="AD11" s="19">
        <v>177.54</v>
      </c>
      <c r="AE11" s="19">
        <v>176.78</v>
      </c>
      <c r="AF11" s="19">
        <v>174.93</v>
      </c>
      <c r="AG11" s="19">
        <v>174.68</v>
      </c>
      <c r="AH11" s="19">
        <v>174.43</v>
      </c>
      <c r="AI11" s="19">
        <v>173.92</v>
      </c>
      <c r="AJ11" s="19"/>
      <c r="AK11" s="19"/>
      <c r="AL11" s="19"/>
      <c r="AM11" s="19"/>
      <c r="AN11" s="19"/>
      <c r="AO11" s="16"/>
      <c r="AP11" s="16"/>
    </row>
    <row r="12" spans="1:42" x14ac:dyDescent="0.25">
      <c r="A12" s="69"/>
      <c r="B12" s="70"/>
      <c r="C12" s="19"/>
      <c r="D12" s="19" t="s">
        <v>108</v>
      </c>
      <c r="E12" s="19"/>
      <c r="F12" s="19"/>
      <c r="G12" s="58">
        <v>3</v>
      </c>
      <c r="H12" s="19"/>
      <c r="I12" s="18" t="s">
        <v>44</v>
      </c>
      <c r="J12" s="19">
        <v>173.5</v>
      </c>
      <c r="K12" s="19">
        <v>174.5</v>
      </c>
      <c r="L12" s="19">
        <v>173.4</v>
      </c>
      <c r="M12" s="19">
        <v>173.6</v>
      </c>
      <c r="N12" s="19">
        <v>173.3</v>
      </c>
      <c r="O12" s="19">
        <v>168.8</v>
      </c>
      <c r="P12" s="19">
        <v>170.4</v>
      </c>
      <c r="Q12" s="13">
        <v>170.4</v>
      </c>
      <c r="R12" s="19">
        <v>171.2</v>
      </c>
      <c r="S12" s="13">
        <v>171.2</v>
      </c>
      <c r="T12" s="19">
        <v>174.4</v>
      </c>
      <c r="U12" s="19">
        <v>176.9</v>
      </c>
      <c r="V12" s="19">
        <v>178.1</v>
      </c>
      <c r="W12" s="19">
        <v>177.7</v>
      </c>
      <c r="X12" s="19">
        <v>176.6</v>
      </c>
      <c r="Y12" s="19">
        <v>177</v>
      </c>
      <c r="Z12" s="19">
        <v>172.2</v>
      </c>
      <c r="AA12" s="13">
        <v>172.2</v>
      </c>
      <c r="AB12" s="13">
        <v>172.2</v>
      </c>
      <c r="AC12" s="19">
        <v>172.7</v>
      </c>
      <c r="AD12" s="19">
        <v>171.5</v>
      </c>
      <c r="AE12" s="13">
        <v>171.5</v>
      </c>
      <c r="AF12" s="13">
        <v>171.5</v>
      </c>
      <c r="AG12" s="13">
        <v>171.5</v>
      </c>
      <c r="AH12" s="13">
        <v>171.5</v>
      </c>
      <c r="AI12" s="13">
        <v>171.5</v>
      </c>
      <c r="AJ12" s="13">
        <v>171.5</v>
      </c>
      <c r="AK12" s="19"/>
      <c r="AL12" s="19"/>
      <c r="AM12" s="19"/>
      <c r="AN12" s="19"/>
      <c r="AO12" s="16"/>
      <c r="AP12" s="16"/>
    </row>
    <row r="13" spans="1:42" x14ac:dyDescent="0.25">
      <c r="A13" s="69"/>
      <c r="B13" s="70"/>
      <c r="C13" s="19"/>
      <c r="D13" s="19"/>
      <c r="E13" s="19"/>
      <c r="F13" s="19"/>
      <c r="G13" s="58"/>
      <c r="H13" s="19"/>
      <c r="I13" s="18" t="s">
        <v>45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6"/>
      <c r="AP13" s="16"/>
    </row>
    <row r="14" spans="1:42" x14ac:dyDescent="0.25">
      <c r="A14" s="69"/>
      <c r="B14" s="70"/>
      <c r="C14" s="19"/>
      <c r="D14" s="19"/>
      <c r="E14" s="19"/>
      <c r="F14" s="19"/>
      <c r="G14" s="58"/>
      <c r="H14" s="19"/>
      <c r="I14" s="18" t="s">
        <v>46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6"/>
      <c r="AP14" s="16"/>
    </row>
    <row r="15" spans="1:42" x14ac:dyDescent="0.25">
      <c r="G15">
        <v>6</v>
      </c>
      <c r="I15" s="9" t="s">
        <v>47</v>
      </c>
    </row>
    <row r="16" spans="1:42" x14ac:dyDescent="0.25">
      <c r="I16" s="9" t="s">
        <v>49</v>
      </c>
    </row>
    <row r="17" spans="9:43" x14ac:dyDescent="0.25">
      <c r="I17" s="9" t="s">
        <v>50</v>
      </c>
    </row>
    <row r="18" spans="9:43" x14ac:dyDescent="0.25">
      <c r="I18" s="9" t="s">
        <v>51</v>
      </c>
    </row>
    <row r="19" spans="9:43" x14ac:dyDescent="0.25">
      <c r="I19" s="9" t="s">
        <v>52</v>
      </c>
      <c r="AQ19" s="10"/>
    </row>
    <row r="20" spans="9:43" ht="21" x14ac:dyDescent="0.25">
      <c r="I20" s="9" t="s">
        <v>53</v>
      </c>
      <c r="AQ20" s="10"/>
    </row>
    <row r="21" spans="9:43" x14ac:dyDescent="0.25">
      <c r="I21" s="9" t="s">
        <v>54</v>
      </c>
      <c r="AQ21" s="10"/>
    </row>
    <row r="22" spans="9:43" x14ac:dyDescent="0.25">
      <c r="I22" s="9" t="s">
        <v>55</v>
      </c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27">
    <mergeCell ref="AN1:AP1"/>
    <mergeCell ref="J2:K2"/>
    <mergeCell ref="L2:P2"/>
    <mergeCell ref="Q2:S2"/>
    <mergeCell ref="T2:V2"/>
    <mergeCell ref="W2:X2"/>
    <mergeCell ref="Y2:AB2"/>
    <mergeCell ref="AC2:AD2"/>
    <mergeCell ref="AE2:AG2"/>
    <mergeCell ref="AH2:AJ2"/>
    <mergeCell ref="W1:X1"/>
    <mergeCell ref="Y1:AB1"/>
    <mergeCell ref="AC1:AD1"/>
    <mergeCell ref="AE1:AG1"/>
    <mergeCell ref="AH1:AJ1"/>
    <mergeCell ref="AK1:AM1"/>
    <mergeCell ref="AK2:AM2"/>
    <mergeCell ref="AN2:AP2"/>
    <mergeCell ref="D3:E3"/>
    <mergeCell ref="A5:A14"/>
    <mergeCell ref="B5:B14"/>
    <mergeCell ref="A1:G2"/>
    <mergeCell ref="H1:I2"/>
    <mergeCell ref="J1:K1"/>
    <mergeCell ref="L1:P1"/>
    <mergeCell ref="Q1:S1"/>
    <mergeCell ref="T1:V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Q36"/>
  <sheetViews>
    <sheetView tabSelected="1" workbookViewId="0">
      <selection activeCell="L21" sqref="L21"/>
    </sheetView>
  </sheetViews>
  <sheetFormatPr defaultRowHeight="15" x14ac:dyDescent="0.25"/>
  <sheetData>
    <row r="1" spans="1:42" x14ac:dyDescent="0.25">
      <c r="A1" s="60" t="s">
        <v>0</v>
      </c>
      <c r="B1" s="63"/>
      <c r="C1" s="63"/>
      <c r="D1" s="63"/>
      <c r="E1" s="63"/>
      <c r="F1" s="63"/>
      <c r="G1" s="63"/>
      <c r="H1" s="60" t="s">
        <v>1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</row>
    <row r="2" spans="1:42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12</v>
      </c>
      <c r="M2" s="66"/>
      <c r="N2" s="66"/>
      <c r="O2" s="66"/>
      <c r="P2" s="66"/>
      <c r="Q2" s="65" t="s">
        <v>13</v>
      </c>
      <c r="R2" s="66"/>
      <c r="S2" s="66"/>
      <c r="T2" s="65" t="s">
        <v>14</v>
      </c>
      <c r="U2" s="66"/>
      <c r="V2" s="66"/>
      <c r="W2" s="65" t="s">
        <v>15</v>
      </c>
      <c r="X2" s="66"/>
      <c r="Y2" s="65" t="s">
        <v>16</v>
      </c>
      <c r="Z2" s="66"/>
      <c r="AA2" s="66"/>
      <c r="AB2" s="66"/>
      <c r="AC2" s="65" t="s">
        <v>17</v>
      </c>
      <c r="AD2" s="66"/>
      <c r="AE2" s="65" t="s">
        <v>18</v>
      </c>
      <c r="AF2" s="66"/>
      <c r="AG2" s="66"/>
      <c r="AH2" s="65"/>
      <c r="AI2" s="66"/>
      <c r="AJ2" s="66"/>
      <c r="AK2" s="67" t="s">
        <v>19</v>
      </c>
      <c r="AL2" s="66"/>
      <c r="AM2" s="66"/>
      <c r="AN2" s="64" t="s">
        <v>20</v>
      </c>
      <c r="AO2" s="63"/>
      <c r="AP2" s="63"/>
    </row>
    <row r="3" spans="1:42" ht="21" x14ac:dyDescent="0.25">
      <c r="A3" s="2" t="s">
        <v>21</v>
      </c>
      <c r="B3" s="3" t="s">
        <v>22</v>
      </c>
      <c r="C3" s="3" t="s">
        <v>23</v>
      </c>
      <c r="D3" s="68" t="s">
        <v>24</v>
      </c>
      <c r="E3" s="68"/>
      <c r="F3" s="4"/>
      <c r="G3" s="4"/>
      <c r="H3" s="4"/>
      <c r="I3" s="3" t="s">
        <v>25</v>
      </c>
      <c r="J3" s="3">
        <v>1</v>
      </c>
      <c r="K3" s="3">
        <v>2</v>
      </c>
      <c r="L3" s="3">
        <v>3</v>
      </c>
      <c r="M3" s="3">
        <v>4</v>
      </c>
      <c r="N3" s="3">
        <v>5</v>
      </c>
      <c r="O3" s="3">
        <v>6</v>
      </c>
      <c r="P3" s="3">
        <v>7</v>
      </c>
      <c r="Q3" s="3">
        <v>8</v>
      </c>
      <c r="R3" s="3">
        <v>9</v>
      </c>
      <c r="S3" s="3">
        <v>10</v>
      </c>
      <c r="T3" s="3">
        <v>11</v>
      </c>
      <c r="U3" s="3">
        <v>12</v>
      </c>
      <c r="V3" s="3">
        <v>13</v>
      </c>
      <c r="W3" s="3">
        <v>14</v>
      </c>
      <c r="X3" s="3">
        <v>15</v>
      </c>
      <c r="Y3" s="3">
        <v>16</v>
      </c>
      <c r="Z3" s="3">
        <v>17</v>
      </c>
      <c r="AA3" s="3">
        <v>18</v>
      </c>
      <c r="AB3" s="3">
        <v>19</v>
      </c>
      <c r="AC3" s="3">
        <v>20</v>
      </c>
      <c r="AD3" s="3">
        <v>21</v>
      </c>
      <c r="AE3" s="3">
        <v>22</v>
      </c>
      <c r="AF3" s="3">
        <v>23</v>
      </c>
      <c r="AG3" s="3">
        <v>24</v>
      </c>
      <c r="AH3" s="3">
        <v>25</v>
      </c>
      <c r="AI3" s="3">
        <v>26</v>
      </c>
      <c r="AJ3" s="3">
        <v>27</v>
      </c>
      <c r="AK3" s="3">
        <v>28</v>
      </c>
      <c r="AL3" s="3">
        <v>29</v>
      </c>
      <c r="AM3" s="3">
        <v>30</v>
      </c>
      <c r="AN3" s="3">
        <v>31</v>
      </c>
      <c r="AO3" s="1"/>
      <c r="AP3" s="1"/>
    </row>
    <row r="4" spans="1:42" ht="21" x14ac:dyDescent="0.25">
      <c r="A4" s="5"/>
      <c r="B4" s="5"/>
      <c r="C4" s="5"/>
      <c r="D4" s="6" t="s">
        <v>26</v>
      </c>
      <c r="E4" s="6" t="s">
        <v>27</v>
      </c>
      <c r="F4" s="5"/>
      <c r="G4" s="5" t="s">
        <v>48</v>
      </c>
      <c r="H4" s="5"/>
      <c r="I4" s="6" t="s">
        <v>28</v>
      </c>
      <c r="J4" s="7" t="s">
        <v>29</v>
      </c>
      <c r="K4" s="7" t="s">
        <v>29</v>
      </c>
      <c r="L4" s="7" t="s">
        <v>29</v>
      </c>
      <c r="M4" s="7" t="s">
        <v>29</v>
      </c>
      <c r="N4" s="7" t="s">
        <v>29</v>
      </c>
      <c r="O4" s="7" t="s">
        <v>29</v>
      </c>
      <c r="P4" s="7" t="s">
        <v>29</v>
      </c>
      <c r="Q4" s="7" t="s">
        <v>29</v>
      </c>
      <c r="R4" s="7" t="s">
        <v>29</v>
      </c>
      <c r="S4" s="7" t="s">
        <v>29</v>
      </c>
      <c r="T4" s="7" t="s">
        <v>29</v>
      </c>
      <c r="U4" s="7" t="s">
        <v>29</v>
      </c>
      <c r="V4" s="7" t="s">
        <v>29</v>
      </c>
      <c r="W4" s="7" t="s">
        <v>29</v>
      </c>
      <c r="X4" s="7" t="s">
        <v>29</v>
      </c>
      <c r="Y4" s="7" t="s">
        <v>29</v>
      </c>
      <c r="Z4" s="7" t="s">
        <v>29</v>
      </c>
      <c r="AA4" s="7" t="s">
        <v>29</v>
      </c>
      <c r="AB4" s="7" t="s">
        <v>29</v>
      </c>
      <c r="AC4" s="7" t="s">
        <v>29</v>
      </c>
      <c r="AD4" s="7" t="s">
        <v>29</v>
      </c>
      <c r="AE4" s="7" t="s">
        <v>29</v>
      </c>
      <c r="AF4" s="7" t="s">
        <v>29</v>
      </c>
      <c r="AG4" s="7" t="s">
        <v>29</v>
      </c>
      <c r="AH4" s="7" t="s">
        <v>29</v>
      </c>
      <c r="AI4" s="7" t="s">
        <v>29</v>
      </c>
      <c r="AJ4" s="7" t="s">
        <v>29</v>
      </c>
      <c r="AK4" s="7" t="s">
        <v>29</v>
      </c>
      <c r="AL4" s="7" t="s">
        <v>29</v>
      </c>
      <c r="AM4" s="7" t="s">
        <v>29</v>
      </c>
      <c r="AN4" s="7" t="s">
        <v>29</v>
      </c>
      <c r="AO4" s="1"/>
      <c r="AP4" s="1"/>
    </row>
    <row r="5" spans="1:42" ht="21" x14ac:dyDescent="0.25">
      <c r="A5" s="69" t="s">
        <v>30</v>
      </c>
      <c r="B5" s="70" t="s">
        <v>31</v>
      </c>
      <c r="C5" s="4"/>
      <c r="D5" s="4"/>
      <c r="E5" s="4"/>
      <c r="F5" s="4"/>
      <c r="G5" s="4">
        <v>10</v>
      </c>
      <c r="H5" s="4"/>
      <c r="I5" s="12" t="s">
        <v>32</v>
      </c>
      <c r="J5" s="8">
        <v>34.729999999999997</v>
      </c>
      <c r="K5" s="8">
        <v>36.53</v>
      </c>
      <c r="L5" s="8">
        <v>36.53</v>
      </c>
      <c r="M5" s="8">
        <v>37.33</v>
      </c>
      <c r="N5" s="8">
        <v>35.47</v>
      </c>
      <c r="O5" s="8">
        <v>36</v>
      </c>
      <c r="P5" s="8">
        <v>37.33</v>
      </c>
      <c r="Q5" s="8">
        <v>36.229999999999997</v>
      </c>
      <c r="R5" s="8">
        <v>35.93</v>
      </c>
      <c r="S5" s="8">
        <v>36.130000000000003</v>
      </c>
      <c r="T5" s="8">
        <v>36.43</v>
      </c>
      <c r="U5" s="8">
        <v>37.130000000000003</v>
      </c>
      <c r="V5" s="8">
        <v>37.130000000000003</v>
      </c>
      <c r="W5" s="8">
        <v>36.94</v>
      </c>
      <c r="X5" s="8">
        <v>36.83</v>
      </c>
      <c r="Y5" s="8">
        <v>36.630000000000003</v>
      </c>
      <c r="Z5" s="8">
        <v>37.29</v>
      </c>
      <c r="AA5" s="8">
        <v>40.33</v>
      </c>
      <c r="AB5" s="8">
        <v>38.03</v>
      </c>
      <c r="AC5" s="8">
        <v>37.33</v>
      </c>
      <c r="AD5" s="8">
        <v>37.35</v>
      </c>
      <c r="AE5" s="8">
        <v>38.33</v>
      </c>
      <c r="AF5" s="8">
        <v>40.76</v>
      </c>
      <c r="AG5" s="8">
        <v>41.24</v>
      </c>
      <c r="AH5" s="8">
        <v>39.93</v>
      </c>
      <c r="AI5" s="8">
        <v>39.83</v>
      </c>
      <c r="AJ5" s="8">
        <v>40.86</v>
      </c>
      <c r="AK5" s="4"/>
      <c r="AL5" s="4"/>
      <c r="AM5" s="4"/>
      <c r="AN5" s="4"/>
      <c r="AO5" s="1"/>
      <c r="AP5" s="1"/>
    </row>
    <row r="6" spans="1:42" ht="21" x14ac:dyDescent="0.25">
      <c r="A6" s="69"/>
      <c r="B6" s="70"/>
      <c r="C6" s="4"/>
      <c r="D6" s="4" t="s">
        <v>33</v>
      </c>
      <c r="E6" s="4"/>
      <c r="F6" s="4"/>
      <c r="G6" s="4"/>
      <c r="H6" s="4"/>
      <c r="I6" s="14" t="s">
        <v>34</v>
      </c>
      <c r="J6" s="4">
        <v>31.26</v>
      </c>
      <c r="K6" s="4">
        <v>32.880000000000003</v>
      </c>
      <c r="L6" s="4">
        <v>32.880000000000003</v>
      </c>
      <c r="M6" s="4">
        <v>33.6</v>
      </c>
      <c r="N6" s="4">
        <v>31.92</v>
      </c>
      <c r="O6" s="4">
        <v>32.4</v>
      </c>
      <c r="P6" s="4">
        <v>33.6</v>
      </c>
      <c r="Q6" s="4">
        <v>32.61</v>
      </c>
      <c r="R6" s="4">
        <v>32.340000000000003</v>
      </c>
      <c r="S6" s="4">
        <v>32.520000000000003</v>
      </c>
      <c r="T6" s="4">
        <v>32.79</v>
      </c>
      <c r="U6" s="4">
        <v>33.42</v>
      </c>
      <c r="V6" s="4">
        <v>33.42</v>
      </c>
      <c r="W6" s="4">
        <v>33.25</v>
      </c>
      <c r="X6" s="4">
        <v>33.15</v>
      </c>
      <c r="Y6" s="4">
        <v>32.97</v>
      </c>
      <c r="Z6" s="4">
        <v>33.56</v>
      </c>
      <c r="AA6" s="4">
        <v>36.299999999999997</v>
      </c>
      <c r="AB6" s="4">
        <v>34.229999999999997</v>
      </c>
      <c r="AC6" s="4">
        <v>33.68</v>
      </c>
      <c r="AD6" s="4">
        <v>33.619999999999997</v>
      </c>
      <c r="AE6" s="4">
        <v>34.5</v>
      </c>
      <c r="AF6" s="4">
        <v>36.68</v>
      </c>
      <c r="AG6" s="4">
        <v>37.119999999999997</v>
      </c>
      <c r="AH6" s="4">
        <v>35.94</v>
      </c>
      <c r="AI6" s="4">
        <v>35.85</v>
      </c>
      <c r="AJ6" s="4">
        <v>20</v>
      </c>
      <c r="AK6" s="4"/>
      <c r="AL6" s="4"/>
      <c r="AM6" s="4"/>
      <c r="AN6" s="4"/>
      <c r="AO6" s="1"/>
      <c r="AP6" s="1"/>
    </row>
    <row r="7" spans="1:42" x14ac:dyDescent="0.25">
      <c r="A7" s="69"/>
      <c r="B7" s="70"/>
      <c r="C7" s="4"/>
      <c r="D7" s="4" t="s">
        <v>35</v>
      </c>
      <c r="E7" s="4"/>
      <c r="F7" s="4"/>
      <c r="G7" s="4">
        <v>10</v>
      </c>
      <c r="H7" s="4"/>
      <c r="I7" s="12" t="s">
        <v>36</v>
      </c>
      <c r="J7" s="4">
        <v>137</v>
      </c>
      <c r="K7" s="4"/>
      <c r="L7" s="4">
        <v>135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>
        <v>133</v>
      </c>
      <c r="Y7" s="4"/>
      <c r="Z7" s="4"/>
      <c r="AA7" s="4">
        <v>140</v>
      </c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1"/>
      <c r="AP7" s="1"/>
    </row>
    <row r="8" spans="1:42" x14ac:dyDescent="0.25">
      <c r="A8" s="69"/>
      <c r="B8" s="70"/>
      <c r="C8" s="4"/>
      <c r="D8" s="4"/>
      <c r="E8" s="4"/>
      <c r="F8" s="4"/>
      <c r="G8" s="4"/>
      <c r="H8" s="4"/>
      <c r="I8" s="3" t="s">
        <v>37</v>
      </c>
      <c r="J8" s="4">
        <v>10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>
        <v>6</v>
      </c>
      <c r="AB8" s="4"/>
      <c r="AC8" s="4"/>
      <c r="AD8" s="4"/>
      <c r="AE8" s="4"/>
      <c r="AF8" s="4"/>
      <c r="AG8" s="4">
        <v>50</v>
      </c>
      <c r="AH8" s="4"/>
      <c r="AI8" s="4"/>
      <c r="AJ8" s="4"/>
      <c r="AK8" s="4"/>
      <c r="AL8" s="4"/>
      <c r="AM8" s="4"/>
      <c r="AN8" s="4"/>
      <c r="AO8" s="1"/>
      <c r="AP8" s="1"/>
    </row>
    <row r="9" spans="1:42" x14ac:dyDescent="0.25">
      <c r="A9" s="69"/>
      <c r="B9" s="70"/>
      <c r="C9" s="4"/>
      <c r="D9" s="4" t="s">
        <v>35</v>
      </c>
      <c r="E9" s="4"/>
      <c r="F9" s="4"/>
      <c r="G9" s="4"/>
      <c r="H9" s="4"/>
      <c r="I9" s="3" t="s">
        <v>38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1"/>
      <c r="AP9" s="1"/>
    </row>
    <row r="10" spans="1:42" x14ac:dyDescent="0.25">
      <c r="A10" s="69"/>
      <c r="B10" s="70"/>
      <c r="C10" s="4"/>
      <c r="D10" s="4" t="s">
        <v>39</v>
      </c>
      <c r="E10" s="4"/>
      <c r="F10" s="4"/>
      <c r="G10" s="4">
        <v>0</v>
      </c>
      <c r="H10" s="4"/>
      <c r="I10" s="12" t="s">
        <v>40</v>
      </c>
      <c r="J10" s="4">
        <v>2</v>
      </c>
      <c r="K10" s="4"/>
      <c r="L10" s="4">
        <v>2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>
        <v>2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1"/>
      <c r="AP10" s="1"/>
    </row>
    <row r="11" spans="1:42" x14ac:dyDescent="0.25">
      <c r="A11" s="69"/>
      <c r="B11" s="70"/>
      <c r="C11" s="4"/>
      <c r="D11" s="4" t="s">
        <v>41</v>
      </c>
      <c r="E11" s="4"/>
      <c r="F11" s="4"/>
      <c r="G11" s="4"/>
      <c r="H11" s="4"/>
      <c r="I11" s="3" t="s">
        <v>42</v>
      </c>
      <c r="J11" s="4">
        <v>180.85</v>
      </c>
      <c r="K11" s="4">
        <v>180.71</v>
      </c>
      <c r="L11" s="4">
        <v>180.89</v>
      </c>
      <c r="M11" s="4">
        <v>180.99</v>
      </c>
      <c r="N11" s="4">
        <v>180.56</v>
      </c>
      <c r="O11" s="4">
        <v>180.89</v>
      </c>
      <c r="P11" s="4">
        <v>181.2</v>
      </c>
      <c r="Q11" s="4">
        <v>181.21</v>
      </c>
      <c r="R11" s="4">
        <v>180.72</v>
      </c>
      <c r="S11" s="4">
        <v>181.09</v>
      </c>
      <c r="T11" s="4">
        <v>181.17</v>
      </c>
      <c r="U11" s="4">
        <v>181.73</v>
      </c>
      <c r="V11" s="4">
        <v>182.07</v>
      </c>
      <c r="W11" s="4">
        <v>190</v>
      </c>
      <c r="X11" s="4">
        <v>180.76</v>
      </c>
      <c r="Y11" s="4">
        <v>179.07</v>
      </c>
      <c r="Z11" s="4">
        <v>178.48</v>
      </c>
      <c r="AA11" s="4">
        <v>178.23</v>
      </c>
      <c r="AB11" s="4">
        <v>177.85</v>
      </c>
      <c r="AC11" s="4">
        <v>177.7</v>
      </c>
      <c r="AD11" s="4">
        <v>177.54</v>
      </c>
      <c r="AE11" s="4">
        <v>176.78</v>
      </c>
      <c r="AF11" s="4">
        <v>174.93</v>
      </c>
      <c r="AG11" s="4">
        <v>174.68</v>
      </c>
      <c r="AH11" s="4">
        <v>174.43</v>
      </c>
      <c r="AI11" s="4">
        <v>173.92</v>
      </c>
      <c r="AJ11" s="4"/>
      <c r="AK11" s="4"/>
      <c r="AL11" s="4"/>
      <c r="AM11" s="4"/>
      <c r="AN11" s="4"/>
      <c r="AO11" s="1"/>
      <c r="AP11" s="1"/>
    </row>
    <row r="12" spans="1:42" x14ac:dyDescent="0.25">
      <c r="A12" s="69"/>
      <c r="B12" s="70"/>
      <c r="C12" s="4"/>
      <c r="D12" s="4" t="s">
        <v>43</v>
      </c>
      <c r="E12" s="4"/>
      <c r="F12" s="4"/>
      <c r="G12" s="4">
        <v>3</v>
      </c>
      <c r="H12" s="4"/>
      <c r="I12" s="12" t="s">
        <v>44</v>
      </c>
      <c r="J12" s="4">
        <v>172.1</v>
      </c>
      <c r="K12" s="4">
        <v>173.2</v>
      </c>
      <c r="L12" s="4">
        <v>172</v>
      </c>
      <c r="M12" s="4">
        <v>171.8</v>
      </c>
      <c r="N12" s="4">
        <v>173.7</v>
      </c>
      <c r="O12" s="4">
        <v>169.3</v>
      </c>
      <c r="P12" s="4">
        <v>171.2</v>
      </c>
      <c r="Q12" s="4">
        <v>172.8</v>
      </c>
      <c r="R12" s="4">
        <v>172.2</v>
      </c>
      <c r="S12" s="4">
        <v>173.6</v>
      </c>
      <c r="T12" s="4">
        <v>173.6</v>
      </c>
      <c r="U12" s="4">
        <v>173.1</v>
      </c>
      <c r="V12" s="13">
        <v>173.1</v>
      </c>
      <c r="W12" s="13">
        <v>173.1</v>
      </c>
      <c r="X12" s="4">
        <v>173.3</v>
      </c>
      <c r="Y12" s="4">
        <v>172.4</v>
      </c>
      <c r="Z12" s="4">
        <v>172.5</v>
      </c>
      <c r="AA12" s="4">
        <v>178</v>
      </c>
      <c r="AB12" s="4">
        <v>170.2</v>
      </c>
      <c r="AC12" s="4">
        <v>171.8</v>
      </c>
      <c r="AD12" s="4">
        <v>170.5</v>
      </c>
      <c r="AE12" s="4">
        <v>168.5</v>
      </c>
      <c r="AF12" s="13">
        <v>168.5</v>
      </c>
      <c r="AG12" s="13">
        <v>168.5</v>
      </c>
      <c r="AH12" s="13">
        <v>168.5</v>
      </c>
      <c r="AI12" s="13">
        <v>168.5</v>
      </c>
      <c r="AJ12" s="13">
        <v>168.5</v>
      </c>
      <c r="AK12" s="4"/>
      <c r="AL12" s="4"/>
      <c r="AM12" s="4"/>
      <c r="AN12" s="4"/>
      <c r="AO12" s="1"/>
      <c r="AP12" s="1"/>
    </row>
    <row r="13" spans="1:42" x14ac:dyDescent="0.25">
      <c r="A13" s="69"/>
      <c r="B13" s="70"/>
      <c r="C13" s="4"/>
      <c r="D13" s="4"/>
      <c r="E13" s="4"/>
      <c r="F13" s="4"/>
      <c r="G13" s="4"/>
      <c r="H13" s="4"/>
      <c r="I13" s="3" t="s">
        <v>45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1"/>
      <c r="AP13" s="1"/>
    </row>
    <row r="14" spans="1:42" x14ac:dyDescent="0.25">
      <c r="A14" s="69"/>
      <c r="B14" s="70"/>
      <c r="C14" s="4"/>
      <c r="D14" s="4"/>
      <c r="E14" s="4"/>
      <c r="F14" s="4"/>
      <c r="G14" s="4"/>
      <c r="H14" s="4"/>
      <c r="I14" s="3" t="s">
        <v>46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1"/>
      <c r="AP14" s="1"/>
    </row>
    <row r="15" spans="1:42" x14ac:dyDescent="0.25">
      <c r="G15">
        <v>6</v>
      </c>
      <c r="I15" s="9" t="s">
        <v>47</v>
      </c>
      <c r="J15">
        <f>IF(OR(J12=0,J5=0), ,J5/J12)</f>
        <v>0.20180127832655431</v>
      </c>
      <c r="K15">
        <f t="shared" ref="K15:AN15" si="0">IF(OR(K12=0,K5=0), ,K5/K12)</f>
        <v>0.21091224018475752</v>
      </c>
      <c r="L15">
        <f t="shared" si="0"/>
        <v>0.21238372093023256</v>
      </c>
      <c r="M15">
        <f t="shared" si="0"/>
        <v>0.21728754365541325</v>
      </c>
      <c r="N15">
        <f t="shared" si="0"/>
        <v>0.20420264824409903</v>
      </c>
      <c r="O15">
        <f t="shared" si="0"/>
        <v>0.212640283520378</v>
      </c>
      <c r="P15">
        <f t="shared" si="0"/>
        <v>0.21804906542056074</v>
      </c>
      <c r="Q15">
        <f t="shared" si="0"/>
        <v>0.20966435185185181</v>
      </c>
      <c r="R15">
        <f t="shared" si="0"/>
        <v>0.20865272938443671</v>
      </c>
      <c r="S15">
        <f t="shared" si="0"/>
        <v>0.20812211981566822</v>
      </c>
      <c r="T15">
        <f t="shared" si="0"/>
        <v>0.20985023041474654</v>
      </c>
      <c r="U15">
        <f t="shared" si="0"/>
        <v>0.21450028885037553</v>
      </c>
      <c r="V15">
        <f t="shared" si="0"/>
        <v>0.21450028885037553</v>
      </c>
      <c r="W15">
        <f t="shared" si="0"/>
        <v>0.21340265742345466</v>
      </c>
      <c r="X15">
        <f t="shared" si="0"/>
        <v>0.21252163877668781</v>
      </c>
      <c r="Y15">
        <f t="shared" si="0"/>
        <v>0.21247099767981439</v>
      </c>
      <c r="Z15">
        <f t="shared" si="0"/>
        <v>0.21617391304347824</v>
      </c>
      <c r="AA15">
        <f t="shared" si="0"/>
        <v>0.22657303370786516</v>
      </c>
      <c r="AB15">
        <f t="shared" si="0"/>
        <v>0.22344300822561694</v>
      </c>
      <c r="AC15">
        <f t="shared" si="0"/>
        <v>0.21728754365541325</v>
      </c>
      <c r="AD15">
        <f t="shared" si="0"/>
        <v>0.21906158357771263</v>
      </c>
      <c r="AE15">
        <f t="shared" si="0"/>
        <v>0.22747774480712166</v>
      </c>
      <c r="AF15">
        <f t="shared" si="0"/>
        <v>0.24189910979228485</v>
      </c>
      <c r="AG15">
        <f t="shared" si="0"/>
        <v>0.24474777448071217</v>
      </c>
      <c r="AH15">
        <f t="shared" si="0"/>
        <v>0.23697329376854601</v>
      </c>
      <c r="AI15">
        <f t="shared" si="0"/>
        <v>0.23637982195845697</v>
      </c>
      <c r="AJ15">
        <f t="shared" si="0"/>
        <v>0.24249258160237389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42" x14ac:dyDescent="0.25">
      <c r="I16" s="9" t="s">
        <v>49</v>
      </c>
    </row>
    <row r="17" spans="9:43" x14ac:dyDescent="0.25">
      <c r="I17" s="9" t="s">
        <v>50</v>
      </c>
      <c r="X17" s="15"/>
    </row>
    <row r="18" spans="9:43" x14ac:dyDescent="0.25">
      <c r="I18" s="9" t="s">
        <v>51</v>
      </c>
    </row>
    <row r="19" spans="9:43" x14ac:dyDescent="0.25">
      <c r="I19" s="9" t="s">
        <v>52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 t="s">
        <v>56</v>
      </c>
      <c r="AB19" s="11" t="s">
        <v>60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ht="21" x14ac:dyDescent="0.25">
      <c r="I20" s="9" t="s">
        <v>53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 t="s">
        <v>57</v>
      </c>
      <c r="AB20" s="11" t="s">
        <v>61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2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 t="s">
        <v>58</v>
      </c>
      <c r="AB21" s="11" t="s">
        <v>62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2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 t="s">
        <v>59</v>
      </c>
      <c r="AB22" s="11" t="s">
        <v>62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25">
      <c r="X25" s="8"/>
    </row>
    <row r="36" spans="23:24" x14ac:dyDescent="0.25">
      <c r="W36" s="8"/>
      <c r="X36" s="8"/>
    </row>
  </sheetData>
  <mergeCells count="27">
    <mergeCell ref="AK1:AM1"/>
    <mergeCell ref="AK2:AM2"/>
    <mergeCell ref="AN1:AP1"/>
    <mergeCell ref="AN2:AP2"/>
    <mergeCell ref="AC1:AD1"/>
    <mergeCell ref="AC2:AD2"/>
    <mergeCell ref="AE1:AG1"/>
    <mergeCell ref="AE2:AG2"/>
    <mergeCell ref="AH1:AJ1"/>
    <mergeCell ref="AH2:AJ2"/>
    <mergeCell ref="T1:V1"/>
    <mergeCell ref="T2:V2"/>
    <mergeCell ref="W1:X1"/>
    <mergeCell ref="W2:X2"/>
    <mergeCell ref="Y1:AB1"/>
    <mergeCell ref="Y2:AB2"/>
    <mergeCell ref="J1:K1"/>
    <mergeCell ref="J2:K2"/>
    <mergeCell ref="L1:P1"/>
    <mergeCell ref="L2:P2"/>
    <mergeCell ref="Q1:S1"/>
    <mergeCell ref="Q2:S2"/>
    <mergeCell ref="D3:E3"/>
    <mergeCell ref="A5:A14"/>
    <mergeCell ref="B5:B14"/>
    <mergeCell ref="A1:G2"/>
    <mergeCell ref="H1:I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Q36"/>
  <sheetViews>
    <sheetView workbookViewId="0">
      <selection activeCell="G4" sqref="G4:G15"/>
    </sheetView>
  </sheetViews>
  <sheetFormatPr defaultRowHeight="15" x14ac:dyDescent="0.25"/>
  <sheetData>
    <row r="1" spans="1:42" ht="15" customHeight="1" x14ac:dyDescent="0.25">
      <c r="A1" s="60" t="s">
        <v>63</v>
      </c>
      <c r="B1" s="63"/>
      <c r="C1" s="63"/>
      <c r="D1" s="63"/>
      <c r="E1" s="63"/>
      <c r="F1" s="63"/>
      <c r="G1" s="63"/>
      <c r="H1" s="60" t="s">
        <v>64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</row>
    <row r="2" spans="1:42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65</v>
      </c>
      <c r="M2" s="66"/>
      <c r="N2" s="66"/>
      <c r="O2" s="66"/>
      <c r="P2" s="66"/>
      <c r="Q2" s="65" t="s">
        <v>66</v>
      </c>
      <c r="R2" s="66"/>
      <c r="S2" s="66"/>
      <c r="T2" s="65" t="s">
        <v>67</v>
      </c>
      <c r="U2" s="66"/>
      <c r="V2" s="66"/>
      <c r="W2" s="65" t="s">
        <v>68</v>
      </c>
      <c r="X2" s="66"/>
      <c r="Y2" s="65" t="s">
        <v>69</v>
      </c>
      <c r="Z2" s="66"/>
      <c r="AA2" s="66"/>
      <c r="AB2" s="66"/>
      <c r="AC2" s="65" t="s">
        <v>70</v>
      </c>
      <c r="AD2" s="66"/>
      <c r="AE2" s="65" t="s">
        <v>71</v>
      </c>
      <c r="AF2" s="66"/>
      <c r="AG2" s="66"/>
      <c r="AH2" s="65"/>
      <c r="AI2" s="66"/>
      <c r="AJ2" s="66"/>
      <c r="AK2" s="67" t="s">
        <v>72</v>
      </c>
      <c r="AL2" s="66"/>
      <c r="AM2" s="66"/>
      <c r="AN2" s="64" t="s">
        <v>73</v>
      </c>
      <c r="AO2" s="63"/>
      <c r="AP2" s="63"/>
    </row>
    <row r="3" spans="1:42" ht="21" x14ac:dyDescent="0.25">
      <c r="A3" s="17" t="s">
        <v>21</v>
      </c>
      <c r="B3" s="18" t="s">
        <v>22</v>
      </c>
      <c r="C3" s="18" t="s">
        <v>23</v>
      </c>
      <c r="D3" s="68" t="s">
        <v>24</v>
      </c>
      <c r="E3" s="68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42" ht="21" x14ac:dyDescent="0.25">
      <c r="A4" s="20"/>
      <c r="B4" s="20"/>
      <c r="C4" s="20"/>
      <c r="D4" s="21" t="s">
        <v>26</v>
      </c>
      <c r="E4" s="21" t="s">
        <v>27</v>
      </c>
      <c r="F4" s="20"/>
      <c r="G4" s="59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42" ht="21" customHeight="1" x14ac:dyDescent="0.25">
      <c r="A5" s="69" t="s">
        <v>74</v>
      </c>
      <c r="B5" s="70" t="s">
        <v>31</v>
      </c>
      <c r="C5" s="19"/>
      <c r="D5" s="19"/>
      <c r="E5" s="19"/>
      <c r="F5" s="19"/>
      <c r="G5" s="58">
        <v>10</v>
      </c>
      <c r="H5" s="19"/>
      <c r="I5" s="18" t="s">
        <v>32</v>
      </c>
      <c r="J5" s="23">
        <v>260.32</v>
      </c>
      <c r="K5" s="23">
        <v>258.02999999999997</v>
      </c>
      <c r="L5" s="23">
        <v>256.61</v>
      </c>
      <c r="M5" s="23">
        <v>256.12</v>
      </c>
      <c r="N5" s="23">
        <v>252.46</v>
      </c>
      <c r="O5" s="23">
        <v>256.32</v>
      </c>
      <c r="P5" s="23">
        <v>260.93</v>
      </c>
      <c r="Q5" s="23">
        <v>261.52999999999997</v>
      </c>
      <c r="R5" s="23">
        <v>258.12</v>
      </c>
      <c r="S5" s="23">
        <v>258.42</v>
      </c>
      <c r="T5" s="23">
        <v>255.82</v>
      </c>
      <c r="U5" s="23">
        <v>254.02</v>
      </c>
      <c r="V5" s="23">
        <v>253.6</v>
      </c>
      <c r="W5" s="23">
        <v>249.65</v>
      </c>
      <c r="X5" s="23">
        <v>245.8</v>
      </c>
      <c r="Y5" s="23">
        <v>229.53</v>
      </c>
      <c r="Z5" s="23">
        <v>227.79</v>
      </c>
      <c r="AA5" s="23">
        <v>226.38</v>
      </c>
      <c r="AB5" s="23">
        <v>224.5</v>
      </c>
      <c r="AC5" s="23">
        <v>222.09</v>
      </c>
      <c r="AD5" s="23">
        <v>220.97</v>
      </c>
      <c r="AE5" s="23">
        <v>217.48</v>
      </c>
      <c r="AF5" s="23">
        <v>210.79</v>
      </c>
      <c r="AG5" s="23">
        <v>209.68</v>
      </c>
      <c r="AH5" s="23">
        <v>206.98</v>
      </c>
      <c r="AI5" s="23">
        <v>205.08</v>
      </c>
      <c r="AJ5" s="23">
        <v>203.03</v>
      </c>
      <c r="AK5" s="19"/>
      <c r="AL5" s="19"/>
      <c r="AM5" s="19"/>
      <c r="AN5" s="19"/>
      <c r="AO5" s="16"/>
      <c r="AP5" s="16"/>
    </row>
    <row r="6" spans="1:42" ht="21" x14ac:dyDescent="0.25">
      <c r="A6" s="69"/>
      <c r="B6" s="70"/>
      <c r="C6" s="19"/>
      <c r="D6" s="19"/>
      <c r="E6" s="19"/>
      <c r="F6" s="19"/>
      <c r="G6" s="58"/>
      <c r="H6" s="19"/>
      <c r="I6" s="18" t="s">
        <v>34</v>
      </c>
      <c r="J6" s="19">
        <v>260.32</v>
      </c>
      <c r="K6" s="19">
        <v>258.02999999999997</v>
      </c>
      <c r="L6" s="19">
        <v>256.61</v>
      </c>
      <c r="M6" s="19">
        <v>256.12</v>
      </c>
      <c r="N6" s="19">
        <v>252.46</v>
      </c>
      <c r="O6" s="19">
        <v>256.32</v>
      </c>
      <c r="P6" s="19">
        <v>260.93</v>
      </c>
      <c r="Q6" s="19">
        <v>261.52999999999997</v>
      </c>
      <c r="R6" s="19">
        <v>258.12</v>
      </c>
      <c r="S6" s="19">
        <v>258.42</v>
      </c>
      <c r="T6" s="19">
        <v>255.82</v>
      </c>
      <c r="U6" s="19">
        <v>254.02</v>
      </c>
      <c r="V6" s="19">
        <v>253.6</v>
      </c>
      <c r="W6" s="19">
        <v>249.65</v>
      </c>
      <c r="X6" s="19">
        <v>245.8</v>
      </c>
      <c r="Y6" s="19">
        <v>229.53</v>
      </c>
      <c r="Z6" s="19">
        <v>227.79</v>
      </c>
      <c r="AA6" s="19">
        <v>226.38</v>
      </c>
      <c r="AB6" s="19">
        <v>224.5</v>
      </c>
      <c r="AC6" s="19">
        <v>222.09</v>
      </c>
      <c r="AD6" s="19">
        <v>220.97</v>
      </c>
      <c r="AE6" s="19">
        <v>217.48</v>
      </c>
      <c r="AF6" s="19">
        <v>210.79</v>
      </c>
      <c r="AG6" s="19">
        <v>209.68</v>
      </c>
      <c r="AH6" s="19">
        <v>206.98</v>
      </c>
      <c r="AI6" s="19">
        <v>205.08</v>
      </c>
      <c r="AJ6" s="19">
        <v>203.03</v>
      </c>
      <c r="AK6" s="19"/>
      <c r="AL6" s="19"/>
      <c r="AM6" s="19"/>
      <c r="AN6" s="19"/>
      <c r="AO6" s="16"/>
      <c r="AP6" s="16"/>
    </row>
    <row r="7" spans="1:42" x14ac:dyDescent="0.25">
      <c r="A7" s="69"/>
      <c r="B7" s="70"/>
      <c r="C7" s="19"/>
      <c r="D7" s="19" t="s">
        <v>75</v>
      </c>
      <c r="E7" s="19"/>
      <c r="F7" s="19"/>
      <c r="G7" s="58">
        <v>10</v>
      </c>
      <c r="H7" s="19"/>
      <c r="I7" s="18" t="s">
        <v>36</v>
      </c>
      <c r="J7" s="19"/>
      <c r="K7" s="19"/>
      <c r="L7" s="19">
        <v>152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>
        <v>153</v>
      </c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6"/>
      <c r="AP7" s="16"/>
    </row>
    <row r="8" spans="1:42" x14ac:dyDescent="0.25">
      <c r="A8" s="69"/>
      <c r="B8" s="70"/>
      <c r="C8" s="19"/>
      <c r="D8" s="19"/>
      <c r="E8" s="19"/>
      <c r="F8" s="19"/>
      <c r="G8" s="58"/>
      <c r="H8" s="19"/>
      <c r="I8" s="18" t="s">
        <v>37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6"/>
      <c r="AP8" s="16"/>
    </row>
    <row r="9" spans="1:42" x14ac:dyDescent="0.25">
      <c r="A9" s="69"/>
      <c r="B9" s="70"/>
      <c r="C9" s="19"/>
      <c r="D9" s="19" t="s">
        <v>76</v>
      </c>
      <c r="E9" s="19"/>
      <c r="F9" s="19"/>
      <c r="G9" s="58"/>
      <c r="H9" s="19"/>
      <c r="I9" s="18" t="s">
        <v>38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6"/>
      <c r="AP9" s="16"/>
    </row>
    <row r="10" spans="1:42" x14ac:dyDescent="0.25">
      <c r="A10" s="69"/>
      <c r="B10" s="70"/>
      <c r="C10" s="19"/>
      <c r="D10" s="19" t="s">
        <v>77</v>
      </c>
      <c r="E10" s="19"/>
      <c r="F10" s="19"/>
      <c r="G10" s="58">
        <v>0</v>
      </c>
      <c r="H10" s="19"/>
      <c r="I10" s="18" t="s">
        <v>40</v>
      </c>
      <c r="J10" s="19"/>
      <c r="K10" s="19"/>
      <c r="L10" s="19">
        <v>8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>
        <v>8</v>
      </c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6"/>
      <c r="AP10" s="16"/>
    </row>
    <row r="11" spans="1:42" x14ac:dyDescent="0.25">
      <c r="A11" s="69"/>
      <c r="B11" s="70"/>
      <c r="C11" s="19"/>
      <c r="D11" s="19" t="s">
        <v>41</v>
      </c>
      <c r="E11" s="19"/>
      <c r="F11" s="19"/>
      <c r="G11" s="58"/>
      <c r="H11" s="19"/>
      <c r="I11" s="18" t="s">
        <v>42</v>
      </c>
      <c r="J11" s="19">
        <v>180.85</v>
      </c>
      <c r="K11" s="19">
        <v>180.71</v>
      </c>
      <c r="L11" s="19">
        <v>180.89</v>
      </c>
      <c r="M11" s="19">
        <v>180.99</v>
      </c>
      <c r="N11" s="19">
        <v>180.56</v>
      </c>
      <c r="O11" s="19">
        <v>180.89</v>
      </c>
      <c r="P11" s="19">
        <v>181.2</v>
      </c>
      <c r="Q11" s="19">
        <v>181.21</v>
      </c>
      <c r="R11" s="19">
        <v>180.72</v>
      </c>
      <c r="S11" s="19">
        <v>181.09</v>
      </c>
      <c r="T11" s="19">
        <v>181.17</v>
      </c>
      <c r="U11" s="19">
        <v>181.73</v>
      </c>
      <c r="V11" s="19">
        <v>182.07</v>
      </c>
      <c r="W11" s="19">
        <v>190</v>
      </c>
      <c r="X11" s="19">
        <v>180.76</v>
      </c>
      <c r="Y11" s="19">
        <v>179.07</v>
      </c>
      <c r="Z11" s="19">
        <v>178.48</v>
      </c>
      <c r="AA11" s="19">
        <v>178.23</v>
      </c>
      <c r="AB11" s="19">
        <v>177.85</v>
      </c>
      <c r="AC11" s="19">
        <v>177.7</v>
      </c>
      <c r="AD11" s="19">
        <v>177.54</v>
      </c>
      <c r="AE11" s="19">
        <v>176.78</v>
      </c>
      <c r="AF11" s="19">
        <v>174.93</v>
      </c>
      <c r="AG11" s="19">
        <v>174.68</v>
      </c>
      <c r="AH11" s="19">
        <v>174.43</v>
      </c>
      <c r="AI11" s="19">
        <v>173.92</v>
      </c>
      <c r="AJ11" s="19"/>
      <c r="AK11" s="19"/>
      <c r="AL11" s="19"/>
      <c r="AM11" s="19"/>
      <c r="AN11" s="19"/>
      <c r="AO11" s="16"/>
      <c r="AP11" s="16"/>
    </row>
    <row r="12" spans="1:42" x14ac:dyDescent="0.25">
      <c r="A12" s="69"/>
      <c r="B12" s="70"/>
      <c r="C12" s="19"/>
      <c r="D12" s="19" t="s">
        <v>78</v>
      </c>
      <c r="E12" s="19"/>
      <c r="F12" s="19"/>
      <c r="G12" s="58">
        <v>3</v>
      </c>
      <c r="H12" s="19"/>
      <c r="I12" s="18" t="s">
        <v>44</v>
      </c>
      <c r="J12" s="19">
        <v>172.5</v>
      </c>
      <c r="K12" s="19">
        <v>173.6</v>
      </c>
      <c r="L12" s="19">
        <v>172.5</v>
      </c>
      <c r="M12" s="19">
        <v>172.7</v>
      </c>
      <c r="N12" s="19">
        <v>174.6</v>
      </c>
      <c r="O12" s="19">
        <v>174.64</v>
      </c>
      <c r="P12" s="19">
        <v>173.6</v>
      </c>
      <c r="Q12" s="19">
        <v>175</v>
      </c>
      <c r="R12" s="19">
        <v>174.5</v>
      </c>
      <c r="S12" s="19">
        <v>176</v>
      </c>
      <c r="T12" s="19">
        <v>175.7</v>
      </c>
      <c r="U12" s="19">
        <v>174.8</v>
      </c>
      <c r="V12" s="19">
        <v>176.1</v>
      </c>
      <c r="W12" s="19">
        <v>175.6</v>
      </c>
      <c r="X12" s="19">
        <v>174.7</v>
      </c>
      <c r="Y12" s="19">
        <v>172.5</v>
      </c>
      <c r="Z12" s="19">
        <v>170.9</v>
      </c>
      <c r="AA12" s="19">
        <v>169.9</v>
      </c>
      <c r="AB12" s="19">
        <v>169.8</v>
      </c>
      <c r="AC12" s="19">
        <v>171.7</v>
      </c>
      <c r="AD12" s="19">
        <v>170.4</v>
      </c>
      <c r="AE12" s="13">
        <v>170.4</v>
      </c>
      <c r="AF12" s="13">
        <v>170.4</v>
      </c>
      <c r="AG12" s="13">
        <v>170.4</v>
      </c>
      <c r="AH12" s="13">
        <v>170.4</v>
      </c>
      <c r="AI12" s="13">
        <v>170.4</v>
      </c>
      <c r="AJ12" s="13">
        <v>170.4</v>
      </c>
      <c r="AK12" s="19"/>
      <c r="AL12" s="19"/>
      <c r="AM12" s="19"/>
      <c r="AN12" s="19"/>
      <c r="AO12" s="16"/>
      <c r="AP12" s="16"/>
    </row>
    <row r="13" spans="1:42" x14ac:dyDescent="0.25">
      <c r="A13" s="69"/>
      <c r="B13" s="70"/>
      <c r="C13" s="19"/>
      <c r="D13" s="19"/>
      <c r="E13" s="19"/>
      <c r="F13" s="19"/>
      <c r="G13" s="58"/>
      <c r="H13" s="19"/>
      <c r="I13" s="18" t="s">
        <v>45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6"/>
      <c r="AP13" s="16"/>
    </row>
    <row r="14" spans="1:42" x14ac:dyDescent="0.25">
      <c r="A14" s="69"/>
      <c r="B14" s="70"/>
      <c r="C14" s="19"/>
      <c r="D14" s="19"/>
      <c r="E14" s="19"/>
      <c r="F14" s="19"/>
      <c r="G14" s="58"/>
      <c r="H14" s="19"/>
      <c r="I14" s="18" t="s">
        <v>46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6"/>
      <c r="AP14" s="16"/>
    </row>
    <row r="15" spans="1:42" x14ac:dyDescent="0.25">
      <c r="G15">
        <v>6</v>
      </c>
      <c r="I15" s="9" t="s">
        <v>47</v>
      </c>
    </row>
    <row r="16" spans="1:42" x14ac:dyDescent="0.25">
      <c r="I16" s="9" t="s">
        <v>49</v>
      </c>
    </row>
    <row r="17" spans="9:43" x14ac:dyDescent="0.25">
      <c r="I17" s="9" t="s">
        <v>50</v>
      </c>
    </row>
    <row r="18" spans="9:43" x14ac:dyDescent="0.25">
      <c r="I18" s="9" t="s">
        <v>51</v>
      </c>
    </row>
    <row r="19" spans="9:43" x14ac:dyDescent="0.25">
      <c r="I19" s="9" t="s">
        <v>52</v>
      </c>
      <c r="Y19" t="s">
        <v>210</v>
      </c>
      <c r="AI19" t="s">
        <v>210</v>
      </c>
      <c r="AQ19" s="10"/>
    </row>
    <row r="20" spans="9:43" ht="21" x14ac:dyDescent="0.25">
      <c r="I20" s="9" t="s">
        <v>53</v>
      </c>
      <c r="Y20" t="s">
        <v>211</v>
      </c>
      <c r="AI20" t="s">
        <v>211</v>
      </c>
      <c r="AQ20" s="10"/>
    </row>
    <row r="21" spans="9:43" x14ac:dyDescent="0.25">
      <c r="I21" s="9" t="s">
        <v>54</v>
      </c>
      <c r="AI21" t="s">
        <v>62</v>
      </c>
      <c r="AQ21" s="10"/>
    </row>
    <row r="22" spans="9:43" x14ac:dyDescent="0.25">
      <c r="I22" s="9" t="s">
        <v>55</v>
      </c>
      <c r="AI22" t="s">
        <v>62</v>
      </c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27">
    <mergeCell ref="AN1:AP1"/>
    <mergeCell ref="J2:K2"/>
    <mergeCell ref="L2:P2"/>
    <mergeCell ref="Q2:S2"/>
    <mergeCell ref="T2:V2"/>
    <mergeCell ref="W2:X2"/>
    <mergeCell ref="Y2:AB2"/>
    <mergeCell ref="AC2:AD2"/>
    <mergeCell ref="AE2:AG2"/>
    <mergeCell ref="AH2:AJ2"/>
    <mergeCell ref="W1:X1"/>
    <mergeCell ref="Y1:AB1"/>
    <mergeCell ref="AC1:AD1"/>
    <mergeCell ref="AE1:AG1"/>
    <mergeCell ref="AH1:AJ1"/>
    <mergeCell ref="AK1:AM1"/>
    <mergeCell ref="AK2:AM2"/>
    <mergeCell ref="AN2:AP2"/>
    <mergeCell ref="D3:E3"/>
    <mergeCell ref="A5:A14"/>
    <mergeCell ref="B5:B14"/>
    <mergeCell ref="A1:G2"/>
    <mergeCell ref="H1:I2"/>
    <mergeCell ref="J1:K1"/>
    <mergeCell ref="L1:P1"/>
    <mergeCell ref="Q1:S1"/>
    <mergeCell ref="T1:V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Q36"/>
  <sheetViews>
    <sheetView workbookViewId="0">
      <selection activeCell="G15" sqref="G4:G15"/>
    </sheetView>
  </sheetViews>
  <sheetFormatPr defaultRowHeight="15" x14ac:dyDescent="0.25"/>
  <sheetData>
    <row r="1" spans="1:42" ht="15" customHeight="1" x14ac:dyDescent="0.25">
      <c r="A1" s="60" t="s">
        <v>79</v>
      </c>
      <c r="B1" s="63"/>
      <c r="C1" s="63"/>
      <c r="D1" s="63"/>
      <c r="E1" s="63"/>
      <c r="F1" s="63"/>
      <c r="G1" s="63"/>
      <c r="H1" s="60" t="s">
        <v>80</v>
      </c>
      <c r="I1" s="63"/>
      <c r="J1" s="60" t="s">
        <v>2</v>
      </c>
      <c r="K1" s="61"/>
      <c r="L1" s="60" t="s">
        <v>3</v>
      </c>
      <c r="M1" s="61"/>
      <c r="N1" s="61"/>
      <c r="O1" s="61"/>
      <c r="P1" s="61"/>
      <c r="Q1" s="60" t="s">
        <v>4</v>
      </c>
      <c r="R1" s="61"/>
      <c r="S1" s="61"/>
      <c r="T1" s="60" t="s">
        <v>5</v>
      </c>
      <c r="U1" s="61"/>
      <c r="V1" s="61"/>
      <c r="W1" s="60" t="s">
        <v>6</v>
      </c>
      <c r="X1" s="61"/>
      <c r="Y1" s="60" t="s">
        <v>7</v>
      </c>
      <c r="Z1" s="61"/>
      <c r="AA1" s="61"/>
      <c r="AB1" s="61"/>
      <c r="AC1" s="60" t="s">
        <v>8</v>
      </c>
      <c r="AD1" s="61"/>
      <c r="AE1" s="60"/>
      <c r="AF1" s="61"/>
      <c r="AG1" s="61"/>
      <c r="AH1" s="60"/>
      <c r="AI1" s="61"/>
      <c r="AJ1" s="61"/>
      <c r="AK1" s="60" t="s">
        <v>9</v>
      </c>
      <c r="AL1" s="61"/>
      <c r="AM1" s="61"/>
      <c r="AN1" s="60" t="s">
        <v>10</v>
      </c>
      <c r="AO1" s="61"/>
      <c r="AP1" s="61"/>
    </row>
    <row r="2" spans="1:42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5" t="s">
        <v>11</v>
      </c>
      <c r="K2" s="66"/>
      <c r="L2" s="65" t="s">
        <v>81</v>
      </c>
      <c r="M2" s="66"/>
      <c r="N2" s="66"/>
      <c r="O2" s="66"/>
      <c r="P2" s="66"/>
      <c r="Q2" s="65" t="s">
        <v>82</v>
      </c>
      <c r="R2" s="66"/>
      <c r="S2" s="66"/>
      <c r="T2" s="65" t="s">
        <v>83</v>
      </c>
      <c r="U2" s="66"/>
      <c r="V2" s="66"/>
      <c r="W2" s="65" t="s">
        <v>84</v>
      </c>
      <c r="X2" s="66"/>
      <c r="Y2" s="65" t="s">
        <v>85</v>
      </c>
      <c r="Z2" s="66"/>
      <c r="AA2" s="66"/>
      <c r="AB2" s="66"/>
      <c r="AC2" s="65" t="s">
        <v>86</v>
      </c>
      <c r="AD2" s="66"/>
      <c r="AE2" s="65" t="s">
        <v>87</v>
      </c>
      <c r="AF2" s="66"/>
      <c r="AG2" s="66"/>
      <c r="AH2" s="65"/>
      <c r="AI2" s="66"/>
      <c r="AJ2" s="66"/>
      <c r="AK2" s="67" t="s">
        <v>88</v>
      </c>
      <c r="AL2" s="66"/>
      <c r="AM2" s="66"/>
      <c r="AN2" s="64" t="s">
        <v>89</v>
      </c>
      <c r="AO2" s="63"/>
      <c r="AP2" s="63"/>
    </row>
    <row r="3" spans="1:42" ht="21" x14ac:dyDescent="0.25">
      <c r="A3" s="17" t="s">
        <v>21</v>
      </c>
      <c r="B3" s="18" t="s">
        <v>22</v>
      </c>
      <c r="C3" s="18" t="s">
        <v>23</v>
      </c>
      <c r="D3" s="68" t="s">
        <v>24</v>
      </c>
      <c r="E3" s="68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42" ht="21" x14ac:dyDescent="0.25">
      <c r="A4" s="20"/>
      <c r="B4" s="20"/>
      <c r="C4" s="20"/>
      <c r="D4" s="21" t="s">
        <v>26</v>
      </c>
      <c r="E4" s="21" t="s">
        <v>27</v>
      </c>
      <c r="F4" s="20"/>
      <c r="G4" s="59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42" ht="21" customHeight="1" x14ac:dyDescent="0.25">
      <c r="A5" s="69"/>
      <c r="B5" s="70" t="s">
        <v>31</v>
      </c>
      <c r="C5" s="19"/>
      <c r="D5" s="19"/>
      <c r="E5" s="19"/>
      <c r="F5" s="19"/>
      <c r="G5" s="58">
        <v>10</v>
      </c>
      <c r="H5" s="19"/>
      <c r="I5" s="18" t="s">
        <v>32</v>
      </c>
      <c r="J5" s="23">
        <v>150.53</v>
      </c>
      <c r="K5" s="23">
        <v>150.22999999999999</v>
      </c>
      <c r="L5" s="23">
        <v>150.83000000000001</v>
      </c>
      <c r="M5" s="23">
        <v>149.83000000000001</v>
      </c>
      <c r="N5" s="23">
        <v>143.16999999999999</v>
      </c>
      <c r="O5" s="23">
        <v>149.76</v>
      </c>
      <c r="P5" s="23">
        <v>140</v>
      </c>
      <c r="Q5" s="23">
        <v>148.91999999999999</v>
      </c>
      <c r="R5" s="23">
        <v>145.51</v>
      </c>
      <c r="S5" s="23">
        <v>149.44</v>
      </c>
      <c r="T5" s="23">
        <v>149.32</v>
      </c>
      <c r="U5" s="23">
        <v>153.53</v>
      </c>
      <c r="V5" s="23">
        <v>154.13</v>
      </c>
      <c r="W5" s="23">
        <v>150.04</v>
      </c>
      <c r="X5" s="23">
        <v>141.52000000000001</v>
      </c>
      <c r="Y5" s="23">
        <v>128.13</v>
      </c>
      <c r="Z5" s="23">
        <v>127.42</v>
      </c>
      <c r="AA5" s="23">
        <v>127.61</v>
      </c>
      <c r="AB5" s="23">
        <v>127.51</v>
      </c>
      <c r="AC5" s="23">
        <v>124.01</v>
      </c>
      <c r="AD5" s="23">
        <v>124.5</v>
      </c>
      <c r="AE5" s="23">
        <v>111.7</v>
      </c>
      <c r="AF5" s="23">
        <v>94.64</v>
      </c>
      <c r="AG5" s="23">
        <v>100.49</v>
      </c>
      <c r="AH5" s="23">
        <v>92.67</v>
      </c>
      <c r="AI5" s="23">
        <v>91.97</v>
      </c>
      <c r="AJ5" s="23">
        <v>87.02</v>
      </c>
      <c r="AK5" s="19"/>
      <c r="AL5" s="19"/>
      <c r="AM5" s="19"/>
      <c r="AN5" s="19"/>
      <c r="AO5" s="16"/>
      <c r="AP5" s="16"/>
    </row>
    <row r="6" spans="1:42" ht="21" x14ac:dyDescent="0.25">
      <c r="A6" s="69"/>
      <c r="B6" s="70"/>
      <c r="C6" s="19"/>
      <c r="D6" s="19"/>
      <c r="E6" s="19"/>
      <c r="F6" s="19"/>
      <c r="G6" s="58"/>
      <c r="H6" s="19"/>
      <c r="I6" s="18" t="s">
        <v>34</v>
      </c>
      <c r="J6" s="19">
        <v>150.53</v>
      </c>
      <c r="K6" s="19">
        <v>150.22999999999999</v>
      </c>
      <c r="L6" s="19">
        <v>150.83000000000001</v>
      </c>
      <c r="M6" s="19">
        <v>149.83000000000001</v>
      </c>
      <c r="N6" s="19">
        <v>143.16999999999999</v>
      </c>
      <c r="O6" s="19">
        <v>149.76</v>
      </c>
      <c r="P6" s="19">
        <v>140</v>
      </c>
      <c r="Q6" s="19">
        <v>148.91999999999999</v>
      </c>
      <c r="R6" s="19">
        <v>145.51</v>
      </c>
      <c r="S6" s="19">
        <v>149.44</v>
      </c>
      <c r="T6" s="19">
        <v>149.32</v>
      </c>
      <c r="U6" s="19">
        <v>153.53</v>
      </c>
      <c r="V6" s="19">
        <v>154.13</v>
      </c>
      <c r="W6" s="19">
        <v>150.04</v>
      </c>
      <c r="X6" s="19">
        <v>141.52000000000001</v>
      </c>
      <c r="Y6" s="19">
        <v>128.13</v>
      </c>
      <c r="Z6" s="19">
        <v>127.42</v>
      </c>
      <c r="AA6" s="19">
        <v>127.61</v>
      </c>
      <c r="AB6" s="19">
        <v>127.51</v>
      </c>
      <c r="AC6" s="19">
        <v>123.66</v>
      </c>
      <c r="AD6" s="19">
        <v>124.5</v>
      </c>
      <c r="AE6" s="19">
        <v>111.7</v>
      </c>
      <c r="AF6" s="19">
        <v>94.64</v>
      </c>
      <c r="AG6" s="19">
        <v>100.49</v>
      </c>
      <c r="AH6" s="19">
        <v>92.67</v>
      </c>
      <c r="AI6" s="19">
        <v>91.97</v>
      </c>
      <c r="AJ6" s="19">
        <v>87.02</v>
      </c>
      <c r="AK6" s="19"/>
      <c r="AL6" s="19"/>
      <c r="AM6" s="19"/>
      <c r="AN6" s="19"/>
      <c r="AO6" s="16"/>
      <c r="AP6" s="16"/>
    </row>
    <row r="7" spans="1:42" x14ac:dyDescent="0.25">
      <c r="A7" s="69"/>
      <c r="B7" s="70"/>
      <c r="C7" s="19"/>
      <c r="D7" s="19" t="s">
        <v>90</v>
      </c>
      <c r="E7" s="19"/>
      <c r="F7" s="19"/>
      <c r="G7" s="58">
        <v>10</v>
      </c>
      <c r="H7" s="19"/>
      <c r="I7" s="18" t="s">
        <v>36</v>
      </c>
      <c r="J7" s="19"/>
      <c r="K7" s="19"/>
      <c r="L7" s="19">
        <v>138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>
        <v>139</v>
      </c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6"/>
      <c r="AP7" s="16"/>
    </row>
    <row r="8" spans="1:42" x14ac:dyDescent="0.25">
      <c r="A8" s="69"/>
      <c r="B8" s="70"/>
      <c r="C8" s="19"/>
      <c r="D8" s="19"/>
      <c r="E8" s="19"/>
      <c r="F8" s="19"/>
      <c r="G8" s="58"/>
      <c r="H8" s="19"/>
      <c r="I8" s="18" t="s">
        <v>37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6"/>
      <c r="AP8" s="16"/>
    </row>
    <row r="9" spans="1:42" x14ac:dyDescent="0.25">
      <c r="A9" s="69"/>
      <c r="B9" s="70"/>
      <c r="C9" s="19"/>
      <c r="D9" s="19" t="s">
        <v>91</v>
      </c>
      <c r="E9" s="19"/>
      <c r="F9" s="19"/>
      <c r="G9" s="58"/>
      <c r="H9" s="19"/>
      <c r="I9" s="18" t="s">
        <v>38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/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6"/>
      <c r="AP9" s="16"/>
    </row>
    <row r="10" spans="1:42" x14ac:dyDescent="0.25">
      <c r="A10" s="69"/>
      <c r="B10" s="70"/>
      <c r="C10" s="19"/>
      <c r="D10" s="19" t="s">
        <v>92</v>
      </c>
      <c r="E10" s="19"/>
      <c r="F10" s="19"/>
      <c r="G10" s="58">
        <v>0</v>
      </c>
      <c r="H10" s="19"/>
      <c r="I10" s="18" t="s">
        <v>40</v>
      </c>
      <c r="J10" s="19"/>
      <c r="K10" s="19"/>
      <c r="L10" s="19">
        <v>4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>
        <v>4</v>
      </c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6"/>
      <c r="AP10" s="16"/>
    </row>
    <row r="11" spans="1:42" x14ac:dyDescent="0.25">
      <c r="A11" s="69"/>
      <c r="B11" s="70"/>
      <c r="C11" s="19"/>
      <c r="D11" s="19" t="s">
        <v>41</v>
      </c>
      <c r="E11" s="19"/>
      <c r="F11" s="19"/>
      <c r="G11" s="58"/>
      <c r="H11" s="19"/>
      <c r="I11" s="18" t="s">
        <v>42</v>
      </c>
      <c r="J11" s="19">
        <v>180.85</v>
      </c>
      <c r="K11" s="19">
        <v>180.71</v>
      </c>
      <c r="L11" s="19">
        <v>180.89</v>
      </c>
      <c r="M11" s="19">
        <v>180.99</v>
      </c>
      <c r="N11" s="19">
        <v>180.56</v>
      </c>
      <c r="O11" s="19">
        <v>180.89</v>
      </c>
      <c r="P11" s="19">
        <v>181.2</v>
      </c>
      <c r="Q11" s="19">
        <v>181.21</v>
      </c>
      <c r="R11" s="19">
        <v>180.72</v>
      </c>
      <c r="S11" s="19">
        <v>181.09</v>
      </c>
      <c r="T11" s="19">
        <v>181.17</v>
      </c>
      <c r="U11" s="19">
        <v>181.73</v>
      </c>
      <c r="V11" s="19">
        <v>182.07</v>
      </c>
      <c r="W11" s="19">
        <v>190</v>
      </c>
      <c r="X11" s="19">
        <v>180.76</v>
      </c>
      <c r="Y11" s="19">
        <v>179.07</v>
      </c>
      <c r="Z11" s="19">
        <v>178.48</v>
      </c>
      <c r="AA11" s="19">
        <v>178.23</v>
      </c>
      <c r="AB11" s="19">
        <v>177.85</v>
      </c>
      <c r="AC11" s="19">
        <v>177.7</v>
      </c>
      <c r="AD11" s="19">
        <v>177.54</v>
      </c>
      <c r="AE11" s="19">
        <v>176.78</v>
      </c>
      <c r="AF11" s="19">
        <v>174.93</v>
      </c>
      <c r="AG11" s="19">
        <v>174.68</v>
      </c>
      <c r="AH11" s="19">
        <v>174.43</v>
      </c>
      <c r="AI11" s="19">
        <v>173.92</v>
      </c>
      <c r="AJ11" s="19"/>
      <c r="AK11" s="19"/>
      <c r="AL11" s="19"/>
      <c r="AM11" s="19"/>
      <c r="AN11" s="19"/>
      <c r="AO11" s="16"/>
      <c r="AP11" s="16"/>
    </row>
    <row r="12" spans="1:42" x14ac:dyDescent="0.25">
      <c r="A12" s="69"/>
      <c r="B12" s="70"/>
      <c r="C12" s="19"/>
      <c r="D12" s="19" t="s">
        <v>93</v>
      </c>
      <c r="E12" s="19"/>
      <c r="F12" s="19"/>
      <c r="G12" s="58">
        <v>3</v>
      </c>
      <c r="H12" s="19"/>
      <c r="I12" s="18" t="s">
        <v>44</v>
      </c>
      <c r="J12" s="19">
        <v>169.3</v>
      </c>
      <c r="K12" s="19">
        <v>170.4</v>
      </c>
      <c r="L12" s="19">
        <v>169.5</v>
      </c>
      <c r="M12" s="19">
        <v>169.4</v>
      </c>
      <c r="N12" s="19">
        <v>171.3</v>
      </c>
      <c r="O12" s="19">
        <v>167.1</v>
      </c>
      <c r="P12" s="19">
        <v>168.7</v>
      </c>
      <c r="Q12" s="19">
        <v>169.7</v>
      </c>
      <c r="R12" s="19">
        <v>169.5</v>
      </c>
      <c r="S12" s="19">
        <v>170.8</v>
      </c>
      <c r="T12" s="19">
        <v>171</v>
      </c>
      <c r="U12" s="19">
        <v>170.8</v>
      </c>
      <c r="V12" s="19">
        <v>172.1</v>
      </c>
      <c r="W12" s="19">
        <v>171.7</v>
      </c>
      <c r="X12" s="19">
        <v>171.1</v>
      </c>
      <c r="Y12" s="19">
        <v>170</v>
      </c>
      <c r="Z12" s="19">
        <v>169.4</v>
      </c>
      <c r="AA12" s="19">
        <v>168.2</v>
      </c>
      <c r="AB12" s="13">
        <v>168.2</v>
      </c>
      <c r="AC12" s="19">
        <v>168.6</v>
      </c>
      <c r="AD12" s="19">
        <v>168.5</v>
      </c>
      <c r="AE12" s="13">
        <v>168.5</v>
      </c>
      <c r="AF12" s="13">
        <v>168.5</v>
      </c>
      <c r="AG12" s="13">
        <v>168.5</v>
      </c>
      <c r="AH12" s="13">
        <v>168.5</v>
      </c>
      <c r="AI12" s="13">
        <v>168.5</v>
      </c>
      <c r="AJ12" s="13">
        <v>168.5</v>
      </c>
      <c r="AK12" s="19"/>
      <c r="AL12" s="19"/>
      <c r="AM12" s="19"/>
      <c r="AN12" s="19"/>
      <c r="AO12" s="16"/>
      <c r="AP12" s="16"/>
    </row>
    <row r="13" spans="1:42" x14ac:dyDescent="0.25">
      <c r="A13" s="69"/>
      <c r="B13" s="70"/>
      <c r="C13" s="19"/>
      <c r="D13" s="19"/>
      <c r="E13" s="19"/>
      <c r="F13" s="19"/>
      <c r="G13" s="58"/>
      <c r="H13" s="19"/>
      <c r="I13" s="18" t="s">
        <v>45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6"/>
      <c r="AP13" s="16"/>
    </row>
    <row r="14" spans="1:42" x14ac:dyDescent="0.25">
      <c r="A14" s="69"/>
      <c r="B14" s="70"/>
      <c r="C14" s="19"/>
      <c r="D14" s="19"/>
      <c r="E14" s="19"/>
      <c r="F14" s="19"/>
      <c r="G14" s="58"/>
      <c r="H14" s="19"/>
      <c r="I14" s="18" t="s">
        <v>46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6"/>
      <c r="AP14" s="16"/>
    </row>
    <row r="15" spans="1:42" x14ac:dyDescent="0.25">
      <c r="G15">
        <v>6</v>
      </c>
      <c r="I15" s="9" t="s">
        <v>47</v>
      </c>
    </row>
    <row r="16" spans="1:42" x14ac:dyDescent="0.25">
      <c r="I16" s="9" t="s">
        <v>49</v>
      </c>
    </row>
    <row r="17" spans="9:43" x14ac:dyDescent="0.25">
      <c r="I17" s="9" t="s">
        <v>50</v>
      </c>
    </row>
    <row r="18" spans="9:43" x14ac:dyDescent="0.25">
      <c r="I18" s="9" t="s">
        <v>51</v>
      </c>
    </row>
    <row r="19" spans="9:43" x14ac:dyDescent="0.25">
      <c r="I19" s="9" t="s">
        <v>52</v>
      </c>
      <c r="Y19" t="s">
        <v>210</v>
      </c>
      <c r="AE19" t="s">
        <v>210</v>
      </c>
      <c r="AF19" t="s">
        <v>210</v>
      </c>
      <c r="AQ19" s="10"/>
    </row>
    <row r="20" spans="9:43" ht="21" x14ac:dyDescent="0.25">
      <c r="I20" s="9" t="s">
        <v>53</v>
      </c>
      <c r="Y20" t="s">
        <v>211</v>
      </c>
      <c r="AE20" t="s">
        <v>211</v>
      </c>
      <c r="AF20" t="s">
        <v>211</v>
      </c>
      <c r="AQ20" s="10"/>
    </row>
    <row r="21" spans="9:43" x14ac:dyDescent="0.25">
      <c r="I21" s="9" t="s">
        <v>54</v>
      </c>
      <c r="Y21" t="s">
        <v>62</v>
      </c>
      <c r="AE21" t="s">
        <v>62</v>
      </c>
      <c r="AF21" t="s">
        <v>62</v>
      </c>
      <c r="AQ21" s="10"/>
    </row>
    <row r="22" spans="9:43" x14ac:dyDescent="0.25">
      <c r="I22" s="9" t="s">
        <v>55</v>
      </c>
      <c r="Y22" t="s">
        <v>62</v>
      </c>
      <c r="AE22" t="s">
        <v>62</v>
      </c>
      <c r="AF22" t="s">
        <v>62</v>
      </c>
      <c r="AQ22" s="10"/>
    </row>
    <row r="25" spans="9:43" x14ac:dyDescent="0.25">
      <c r="X25" s="23"/>
    </row>
    <row r="36" spans="23:24" x14ac:dyDescent="0.25">
      <c r="W36" s="23"/>
      <c r="X36" s="23"/>
    </row>
  </sheetData>
  <mergeCells count="27">
    <mergeCell ref="AN1:AP1"/>
    <mergeCell ref="J2:K2"/>
    <mergeCell ref="L2:P2"/>
    <mergeCell ref="Q2:S2"/>
    <mergeCell ref="T2:V2"/>
    <mergeCell ref="W2:X2"/>
    <mergeCell ref="Y2:AB2"/>
    <mergeCell ref="AC2:AD2"/>
    <mergeCell ref="AE2:AG2"/>
    <mergeCell ref="AH2:AJ2"/>
    <mergeCell ref="W1:X1"/>
    <mergeCell ref="Y1:AB1"/>
    <mergeCell ref="AC1:AD1"/>
    <mergeCell ref="AE1:AG1"/>
    <mergeCell ref="AH1:AJ1"/>
    <mergeCell ref="AK1:AM1"/>
    <mergeCell ref="AK2:AM2"/>
    <mergeCell ref="AN2:AP2"/>
    <mergeCell ref="D3:E3"/>
    <mergeCell ref="A5:A14"/>
    <mergeCell ref="B5:B14"/>
    <mergeCell ref="A1:G2"/>
    <mergeCell ref="H1:I2"/>
    <mergeCell ref="J1:K1"/>
    <mergeCell ref="L1:P1"/>
    <mergeCell ref="Q1:S1"/>
    <mergeCell ref="T1:V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238125</xdr:colOff>
                <xdr:row>16</xdr:row>
                <xdr:rowOff>19050</xdr:rowOff>
              </from>
              <to>
                <xdr:col>7</xdr:col>
                <xdr:colOff>561975</xdr:colOff>
                <xdr:row>18</xdr:row>
                <xdr:rowOff>47625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27-1 орен</vt:lpstr>
      <vt:lpstr>4199 вгп</vt:lpstr>
      <vt:lpstr>2882 внг</vt:lpstr>
      <vt:lpstr>1582 вгп</vt:lpstr>
      <vt:lpstr>1560 вгп</vt:lpstr>
      <vt:lpstr>1246 вгп</vt:lpstr>
      <vt:lpstr>1044 вгп</vt:lpstr>
      <vt:lpstr>922 вгп</vt:lpstr>
      <vt:lpstr>571 вгп</vt:lpstr>
      <vt:lpstr>688 вгп</vt:lpstr>
      <vt:lpstr>692 вгп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2020-11-19T11:41:06Z</dcterms:modified>
</cp:coreProperties>
</file>